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h Mishra\Downloads\"/>
    </mc:Choice>
  </mc:AlternateContent>
  <xr:revisionPtr revIDLastSave="0" documentId="8_{8BAF13A1-A5D6-4F9D-9364-15498659BA3C}" xr6:coauthVersionLast="47" xr6:coauthVersionMax="47" xr10:uidLastSave="{00000000-0000-0000-0000-000000000000}"/>
  <bookViews>
    <workbookView xWindow="-108" yWindow="-108" windowWidth="23256" windowHeight="13176" activeTab="1" xr2:uid="{36AABD16-FB55-4B62-8B5C-5D17D78421D7}"/>
  </bookViews>
  <sheets>
    <sheet name="Sheet1" sheetId="1" r:id="rId1"/>
    <sheet name="DATA VALIDATION" sheetId="3" r:id="rId2"/>
    <sheet name="Sheet2" sheetId="2" r:id="rId3"/>
    <sheet name="VLOOKUP" sheetId="4" r:id="rId4"/>
    <sheet name="HLOOKU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5" l="1"/>
  <c r="G2" i="4"/>
  <c r="O3" i="2"/>
  <c r="N2" i="2"/>
  <c r="M2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G3" i="2"/>
  <c r="G4" i="2"/>
  <c r="G5" i="2"/>
  <c r="G6" i="2"/>
  <c r="G7" i="2"/>
  <c r="G8" i="2"/>
  <c r="H8" i="2" s="1"/>
  <c r="G9" i="2"/>
  <c r="H9" i="2" s="1"/>
  <c r="G10" i="2"/>
  <c r="H10" i="2" s="1"/>
  <c r="G11" i="2"/>
  <c r="H11" i="2" s="1"/>
  <c r="G12" i="2"/>
  <c r="H12" i="2" s="1"/>
  <c r="G13" i="2"/>
  <c r="G14" i="2"/>
  <c r="H14" i="2" s="1"/>
  <c r="G15" i="2"/>
  <c r="G16" i="2"/>
  <c r="H16" i="2" s="1"/>
  <c r="G17" i="2"/>
  <c r="G18" i="2"/>
  <c r="G19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" i="2"/>
  <c r="H7" i="2"/>
  <c r="H19" i="2"/>
  <c r="H2" i="2"/>
  <c r="H3" i="2"/>
  <c r="H4" i="2"/>
  <c r="H5" i="2"/>
  <c r="H6" i="2"/>
  <c r="H13" i="2"/>
  <c r="H15" i="2"/>
  <c r="H17" i="2"/>
  <c r="H18" i="2"/>
  <c r="G2" i="2"/>
  <c r="I2" i="2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" i="2"/>
  <c r="O14" i="1"/>
  <c r="M7" i="1"/>
  <c r="L7" i="1"/>
  <c r="J8" i="1"/>
  <c r="K7" i="1"/>
  <c r="J7" i="1"/>
</calcChain>
</file>

<file path=xl/sharedStrings.xml><?xml version="1.0" encoding="utf-8"?>
<sst xmlns="http://schemas.openxmlformats.org/spreadsheetml/2006/main" count="326" uniqueCount="192">
  <si>
    <t>Janauary Expensive</t>
  </si>
  <si>
    <t>Date</t>
  </si>
  <si>
    <t>Category</t>
  </si>
  <si>
    <t>Sub-Category</t>
  </si>
  <si>
    <t>Price</t>
  </si>
  <si>
    <t>Payment Mode</t>
  </si>
  <si>
    <t>Food</t>
  </si>
  <si>
    <t>Grocery</t>
  </si>
  <si>
    <t>Skincare</t>
  </si>
  <si>
    <t>Studies</t>
  </si>
  <si>
    <t>Dairy</t>
  </si>
  <si>
    <t>Bills</t>
  </si>
  <si>
    <t>Games</t>
  </si>
  <si>
    <t>Ice Cream</t>
  </si>
  <si>
    <t>Rice and Dal</t>
  </si>
  <si>
    <t>Facewash</t>
  </si>
  <si>
    <t>Restaurant</t>
  </si>
  <si>
    <t>Tution Fees</t>
  </si>
  <si>
    <t>soap</t>
  </si>
  <si>
    <t>Milk</t>
  </si>
  <si>
    <t>Electricity</t>
  </si>
  <si>
    <t xml:space="preserve">Fast Food </t>
  </si>
  <si>
    <t>Fruits and veegies</t>
  </si>
  <si>
    <t>Cylinder</t>
  </si>
  <si>
    <t>Books</t>
  </si>
  <si>
    <t>Cricke Bat</t>
  </si>
  <si>
    <t>Bread And Jam</t>
  </si>
  <si>
    <t>Deserts</t>
  </si>
  <si>
    <t>CASH</t>
  </si>
  <si>
    <t>UPI</t>
  </si>
  <si>
    <t>CARD</t>
  </si>
  <si>
    <t>Column1</t>
  </si>
  <si>
    <t>Addition</t>
  </si>
  <si>
    <t>Substraction</t>
  </si>
  <si>
    <t>Multiplication</t>
  </si>
  <si>
    <t>Division</t>
  </si>
  <si>
    <t>Cinema Hall</t>
  </si>
  <si>
    <t>Customer's Name</t>
  </si>
  <si>
    <t>Seats</t>
  </si>
  <si>
    <t>Seats Price</t>
  </si>
  <si>
    <t>Total Price</t>
  </si>
  <si>
    <t>YASH</t>
  </si>
  <si>
    <t>Prefix</t>
  </si>
  <si>
    <t>FirstName</t>
  </si>
  <si>
    <t>LastName</t>
  </si>
  <si>
    <t>MR.</t>
  </si>
  <si>
    <t>JON</t>
  </si>
  <si>
    <t>YANG</t>
  </si>
  <si>
    <t>EUGENE</t>
  </si>
  <si>
    <t>HUANG</t>
  </si>
  <si>
    <t>RUBEN</t>
  </si>
  <si>
    <t>TORRES</t>
  </si>
  <si>
    <t>MS.</t>
  </si>
  <si>
    <t>CHRISTY</t>
  </si>
  <si>
    <t>ZHU</t>
  </si>
  <si>
    <t>MRS.</t>
  </si>
  <si>
    <t>ELIZABETH</t>
  </si>
  <si>
    <t>JOHNSON</t>
  </si>
  <si>
    <t>JULIO</t>
  </si>
  <si>
    <t>RUIZ</t>
  </si>
  <si>
    <t>MARCO</t>
  </si>
  <si>
    <t>MEHTA</t>
  </si>
  <si>
    <t>ROBIN</t>
  </si>
  <si>
    <t>VERHOFF</t>
  </si>
  <si>
    <t>SHANNON</t>
  </si>
  <si>
    <t>CARLSON</t>
  </si>
  <si>
    <t>JACQUELY</t>
  </si>
  <si>
    <t>SUAREZ</t>
  </si>
  <si>
    <t>CURTIS</t>
  </si>
  <si>
    <t>LU</t>
  </si>
  <si>
    <t>LAUREN</t>
  </si>
  <si>
    <t>WALKER</t>
  </si>
  <si>
    <t>IAN</t>
  </si>
  <si>
    <t>JENKINS</t>
  </si>
  <si>
    <t>SYDNEY</t>
  </si>
  <si>
    <t>BENNETT</t>
  </si>
  <si>
    <t>CHLOE</t>
  </si>
  <si>
    <t>YOUNG</t>
  </si>
  <si>
    <t>WYATT</t>
  </si>
  <si>
    <t>HILL</t>
  </si>
  <si>
    <t>WANG</t>
  </si>
  <si>
    <t>CLARENCE</t>
  </si>
  <si>
    <t>RAI</t>
  </si>
  <si>
    <t>Concatenate</t>
  </si>
  <si>
    <t>Lower</t>
  </si>
  <si>
    <t>Upper</t>
  </si>
  <si>
    <t>Proper</t>
  </si>
  <si>
    <t>Length</t>
  </si>
  <si>
    <t>Left</t>
  </si>
  <si>
    <t>Right</t>
  </si>
  <si>
    <t>Mid</t>
  </si>
  <si>
    <t>Find</t>
  </si>
  <si>
    <t>Search</t>
  </si>
  <si>
    <t>Replace</t>
  </si>
  <si>
    <t>Substitute</t>
  </si>
  <si>
    <t>Date2</t>
  </si>
  <si>
    <t>sub-category2</t>
  </si>
  <si>
    <t xml:space="preserve">zomato </t>
  </si>
  <si>
    <t>Price2</t>
  </si>
  <si>
    <t>Payment mode2</t>
  </si>
  <si>
    <t>Card</t>
  </si>
  <si>
    <t>EEID</t>
  </si>
  <si>
    <t>Full Name</t>
  </si>
  <si>
    <t>Job Title</t>
  </si>
  <si>
    <t>Annual Salary</t>
  </si>
  <si>
    <t>E02387</t>
  </si>
  <si>
    <t>Emily Davis</t>
  </si>
  <si>
    <t>Sr. Manager</t>
  </si>
  <si>
    <t>E04105</t>
  </si>
  <si>
    <t>Theodore Dinh</t>
  </si>
  <si>
    <t>Technical Architect</t>
  </si>
  <si>
    <t>E02572</t>
  </si>
  <si>
    <t>Luna Sanders</t>
  </si>
  <si>
    <t>Director</t>
  </si>
  <si>
    <t>E02832</t>
  </si>
  <si>
    <t>Penelope Jordan</t>
  </si>
  <si>
    <t>Computer Systems Manager</t>
  </si>
  <si>
    <t>E01639</t>
  </si>
  <si>
    <t>Austin Vo</t>
  </si>
  <si>
    <t>Sr. Analyst</t>
  </si>
  <si>
    <t>E00644</t>
  </si>
  <si>
    <t>Joshua Gupta</t>
  </si>
  <si>
    <t>Account Representative</t>
  </si>
  <si>
    <t>E01550</t>
  </si>
  <si>
    <t>Ruby Barnes</t>
  </si>
  <si>
    <t>Manager</t>
  </si>
  <si>
    <t>E04332</t>
  </si>
  <si>
    <t>Luke Martin</t>
  </si>
  <si>
    <t>Analyst</t>
  </si>
  <si>
    <t>E04533</t>
  </si>
  <si>
    <t>Easton Bailey</t>
  </si>
  <si>
    <t>E03838</t>
  </si>
  <si>
    <t>Madeline Walker</t>
  </si>
  <si>
    <t>E00591</t>
  </si>
  <si>
    <t>Savannah Ali</t>
  </si>
  <si>
    <t>E03344</t>
  </si>
  <si>
    <t>Camila Rogers</t>
  </si>
  <si>
    <t>Controls Engineer</t>
  </si>
  <si>
    <t>E00530</t>
  </si>
  <si>
    <t>Eli Jones</t>
  </si>
  <si>
    <t>E04239</t>
  </si>
  <si>
    <t>Everleigh Ng</t>
  </si>
  <si>
    <t>E03496</t>
  </si>
  <si>
    <t>Robert Yang</t>
  </si>
  <si>
    <t>E00549</t>
  </si>
  <si>
    <t>Isabella Xi</t>
  </si>
  <si>
    <t>Vice President</t>
  </si>
  <si>
    <t>E01124</t>
  </si>
  <si>
    <t>Noah Wilson</t>
  </si>
  <si>
    <t>Data Analyst</t>
  </si>
  <si>
    <t>E01873</t>
  </si>
  <si>
    <t>Emma Thomas</t>
  </si>
  <si>
    <t>HR Specialist</t>
  </si>
  <si>
    <t>E02761</t>
  </si>
  <si>
    <t>William Brown</t>
  </si>
  <si>
    <t>Software Engineer</t>
  </si>
  <si>
    <t>E03982</t>
  </si>
  <si>
    <t>Olivia Johnson</t>
  </si>
  <si>
    <t>Business Analyst</t>
  </si>
  <si>
    <t>E04615</t>
  </si>
  <si>
    <t>James Lee</t>
  </si>
  <si>
    <t>Project Manager</t>
  </si>
  <si>
    <t>E05234</t>
  </si>
  <si>
    <t>Ava Clark</t>
  </si>
  <si>
    <t>Marketing Executive</t>
  </si>
  <si>
    <t>E06127</t>
  </si>
  <si>
    <t>Benjamin Hall</t>
  </si>
  <si>
    <t>Financial Analyst</t>
  </si>
  <si>
    <t>E07215</t>
  </si>
  <si>
    <t>Sophia Adams</t>
  </si>
  <si>
    <t>Operations Manager</t>
  </si>
  <si>
    <t>E08346</t>
  </si>
  <si>
    <t>Daniel Scott</t>
  </si>
  <si>
    <t>IT Support Engineer</t>
  </si>
  <si>
    <t>E09457</t>
  </si>
  <si>
    <t>Mia White</t>
  </si>
  <si>
    <t>Product Manager</t>
  </si>
  <si>
    <t>E10568</t>
  </si>
  <si>
    <t>Lucas Green</t>
  </si>
  <si>
    <t>Senior Developer</t>
  </si>
  <si>
    <t>E11679</t>
  </si>
  <si>
    <t>Charlotte King</t>
  </si>
  <si>
    <t>Recruitment Specialist</t>
  </si>
  <si>
    <t>E12780</t>
  </si>
  <si>
    <t>Henry Baker</t>
  </si>
  <si>
    <t>Sales Manager</t>
  </si>
  <si>
    <t>E13891</t>
  </si>
  <si>
    <t>Amelia Carter</t>
  </si>
  <si>
    <t>Quality Analyst</t>
  </si>
  <si>
    <t>emp id</t>
  </si>
  <si>
    <t>salary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</si>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</sst>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22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1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6"/>
    </xf>
    <xf numFmtId="0" fontId="0" fillId="0" borderId="0" xfId="0" applyAlignment="1">
      <alignment horizontal="left" indent="7"/>
    </xf>
    <xf numFmtId="16" fontId="0" fillId="0" borderId="0" xfId="0" applyNumberFormat="1"/>
    <xf numFmtId="0" fontId="0" fillId="3" borderId="0" xfId="0" applyFill="1" applyAlignment="1">
      <alignment horizontal="left" indent="7"/>
    </xf>
    <xf numFmtId="0" fontId="0" fillId="4" borderId="0" xfId="0" applyFill="1" applyAlignment="1">
      <alignment horizontal="left" indent="7"/>
    </xf>
    <xf numFmtId="0" fontId="3" fillId="0" borderId="0" xfId="0" applyFont="1"/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10">
    <dxf>
      <alignment horizontal="left" vertical="bottom" textRotation="0" wrapText="0" indent="7" justifyLastLine="0" shrinkToFit="0" readingOrder="0"/>
    </dxf>
    <dxf>
      <alignment horizontal="left" vertical="bottom" textRotation="0" wrapText="0" indent="2" justifyLastLine="0" shrinkToFit="0" readingOrder="0"/>
    </dxf>
    <dxf>
      <alignment horizontal="left" vertical="bottom" textRotation="0" wrapText="0" indent="2" justifyLastLine="0" shrinkToFit="0" readingOrder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alignment horizontal="left" vertical="bottom" textRotation="0" wrapText="0" indent="7" justifyLastLine="0" shrinkToFit="0" readingOrder="0"/>
    </dxf>
    <dxf>
      <alignment horizontal="left" vertical="bottom" textRotation="0" wrapText="0" indent="2" justifyLastLine="0" shrinkToFit="0" readingOrder="0"/>
    </dxf>
    <dxf>
      <alignment horizontal="left" vertical="bottom" textRotation="0" wrapText="0" indent="2" justifyLastLine="0" shrinkToFit="0" readingOrder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41575D-B9BA-4C9C-BF68-EF90BCF32B66}" name="Table1" displayName="Table1" ref="B2:G18" totalsRowShown="0" headerRowDxfId="9">
  <autoFilter ref="B2:G18" xr:uid="{6741575D-B9BA-4C9C-BF68-EF90BCF32B66}"/>
  <sortState xmlns:xlrd2="http://schemas.microsoft.com/office/spreadsheetml/2017/richdata2" ref="B3:G18">
    <sortCondition ref="G3:G18"/>
  </sortState>
  <tableColumns count="6">
    <tableColumn id="1" xr3:uid="{3A09D6FC-C4F6-4E79-B95D-339260260F8D}" name="Date" dataDxfId="8"/>
    <tableColumn id="2" xr3:uid="{3366B324-AECE-449B-8087-184B669CC456}" name="Category" dataDxfId="7"/>
    <tableColumn id="3" xr3:uid="{D3B7CE3B-A605-4012-B519-240A6F33AA63}" name="Sub-Category"/>
    <tableColumn id="4" xr3:uid="{AD671E78-1343-4A10-BCF8-447D4E21159A}" name="Price" dataDxfId="6"/>
    <tableColumn id="5" xr3:uid="{1831F971-D364-40E1-AF66-ED254589B6D3}" name="Payment Mode" dataDxfId="5"/>
    <tableColumn id="6" xr3:uid="{D3D568AD-C237-430D-961D-6E66040818CC}" name="Column1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160226-6899-4446-8A40-71790A29B7E1}" name="Table13" displayName="Table13" ref="B1:K17" totalsRowShown="0" headerRowDxfId="4">
  <autoFilter ref="B1:K17" xr:uid="{45160226-6899-4446-8A40-71790A29B7E1}"/>
  <sortState xmlns:xlrd2="http://schemas.microsoft.com/office/spreadsheetml/2017/richdata2" ref="B2:G17">
    <sortCondition ref="G3:G18"/>
  </sortState>
  <tableColumns count="10">
    <tableColumn id="1" xr3:uid="{2FADD061-1EBB-43C8-9B04-9790DD85C0FE}" name="Date" dataDxfId="3"/>
    <tableColumn id="2" xr3:uid="{74FB932E-8316-47A4-AA70-C8F96BD39DF0}" name="Category" dataDxfId="2"/>
    <tableColumn id="3" xr3:uid="{27E47DE0-5CFE-4C91-931B-2BCDECD3FF33}" name="Sub-Category"/>
    <tableColumn id="4" xr3:uid="{5D6A0EA3-CE4B-49C8-8E73-D89470B1635A}" name="Price" dataDxfId="1"/>
    <tableColumn id="5" xr3:uid="{090DFDA1-04B0-4409-90BC-386F3230118D}" name="Payment Mode" dataDxfId="0"/>
    <tableColumn id="6" xr3:uid="{E5285D34-609E-4CB3-9192-F15BBF147EE9}" name="Column1"/>
    <tableColumn id="7" xr3:uid="{643F5032-2830-4120-8703-10DD3D6975DB}" name="Date2"/>
    <tableColumn id="8" xr3:uid="{54A5BDE9-8A61-42E0-AEED-DC6342166315}" name="sub-category2"/>
    <tableColumn id="9" xr3:uid="{71096357-D5C1-4F23-BD20-A9F662586EE0}" name="Price2"/>
    <tableColumn id="10" xr3:uid="{6DBBE883-8110-41D0-A15F-9BAE1E112936}" name="Payment mode2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9DEA5-1AE9-49B6-B891-2CF2B17D805C}">
  <dimension ref="A1:R32"/>
  <sheetViews>
    <sheetView workbookViewId="0">
      <selection activeCell="A2" sqref="A2:H19"/>
    </sheetView>
  </sheetViews>
  <sheetFormatPr defaultRowHeight="14.4" x14ac:dyDescent="0.3"/>
  <cols>
    <col min="1" max="1" width="33.44140625" bestFit="1" customWidth="1"/>
    <col min="2" max="2" width="10.33203125" bestFit="1" customWidth="1"/>
    <col min="3" max="3" width="14" customWidth="1"/>
    <col min="4" max="4" width="19.6640625" customWidth="1"/>
    <col min="5" max="5" width="9.33203125" customWidth="1"/>
    <col min="6" max="6" width="21.33203125" customWidth="1"/>
    <col min="8" max="8" width="34.5546875" bestFit="1" customWidth="1"/>
    <col min="9" max="9" width="10.33203125" bestFit="1" customWidth="1"/>
    <col min="10" max="10" width="11.109375" bestFit="1" customWidth="1"/>
    <col min="11" max="11" width="15.44140625" bestFit="1" customWidth="1"/>
    <col min="12" max="12" width="18" bestFit="1" customWidth="1"/>
    <col min="14" max="14" width="10" bestFit="1" customWidth="1"/>
  </cols>
  <sheetData>
    <row r="1" spans="1:18" ht="59.4" customHeight="1" x14ac:dyDescent="0.55000000000000004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ht="21" x14ac:dyDescent="0.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31</v>
      </c>
    </row>
    <row r="3" spans="1:18" x14ac:dyDescent="0.3">
      <c r="B3" s="2">
        <v>46023</v>
      </c>
      <c r="C3" s="4" t="s">
        <v>6</v>
      </c>
      <c r="D3" t="s">
        <v>13</v>
      </c>
      <c r="E3" s="4">
        <v>30</v>
      </c>
      <c r="F3" s="8" t="s">
        <v>28</v>
      </c>
      <c r="G3" s="7">
        <v>46023</v>
      </c>
    </row>
    <row r="4" spans="1:18" x14ac:dyDescent="0.3">
      <c r="B4" s="2">
        <v>46024</v>
      </c>
      <c r="C4" s="4" t="s">
        <v>7</v>
      </c>
      <c r="D4" t="s">
        <v>14</v>
      </c>
      <c r="E4" s="4">
        <v>30</v>
      </c>
      <c r="F4" s="9" t="s">
        <v>29</v>
      </c>
      <c r="G4" s="7">
        <v>46024</v>
      </c>
      <c r="J4" t="s">
        <v>32</v>
      </c>
      <c r="K4" t="s">
        <v>33</v>
      </c>
      <c r="L4" t="s">
        <v>34</v>
      </c>
      <c r="M4" t="s">
        <v>35</v>
      </c>
    </row>
    <row r="5" spans="1:18" x14ac:dyDescent="0.3">
      <c r="B5" s="2">
        <v>46025</v>
      </c>
      <c r="C5" s="4" t="s">
        <v>8</v>
      </c>
      <c r="D5" t="s">
        <v>15</v>
      </c>
      <c r="E5" s="4">
        <v>200</v>
      </c>
      <c r="F5" s="9" t="s">
        <v>29</v>
      </c>
      <c r="G5" s="7">
        <v>46025</v>
      </c>
      <c r="J5">
        <v>150</v>
      </c>
      <c r="K5">
        <v>200</v>
      </c>
      <c r="L5">
        <v>20</v>
      </c>
      <c r="M5">
        <v>12</v>
      </c>
    </row>
    <row r="6" spans="1:18" x14ac:dyDescent="0.3">
      <c r="B6" s="2">
        <v>46026</v>
      </c>
      <c r="C6" s="4" t="s">
        <v>6</v>
      </c>
      <c r="D6" t="s">
        <v>16</v>
      </c>
      <c r="E6" s="4">
        <v>900</v>
      </c>
      <c r="F6" s="6" t="s">
        <v>30</v>
      </c>
      <c r="G6" s="7">
        <v>46026</v>
      </c>
      <c r="J6">
        <v>200</v>
      </c>
      <c r="K6">
        <v>150</v>
      </c>
      <c r="L6">
        <v>15</v>
      </c>
      <c r="M6">
        <v>3</v>
      </c>
    </row>
    <row r="7" spans="1:18" x14ac:dyDescent="0.3">
      <c r="B7" s="2">
        <v>46027</v>
      </c>
      <c r="C7" s="4" t="s">
        <v>9</v>
      </c>
      <c r="D7" t="s">
        <v>17</v>
      </c>
      <c r="E7" s="4">
        <v>1500</v>
      </c>
      <c r="F7" s="9" t="s">
        <v>29</v>
      </c>
      <c r="G7" s="7">
        <v>46027</v>
      </c>
      <c r="J7">
        <f>J5+J6</f>
        <v>350</v>
      </c>
      <c r="K7">
        <f>K5-K6</f>
        <v>50</v>
      </c>
      <c r="L7">
        <f>L5*L6</f>
        <v>300</v>
      </c>
      <c r="M7">
        <f>M5/M6</f>
        <v>4</v>
      </c>
    </row>
    <row r="8" spans="1:18" x14ac:dyDescent="0.3">
      <c r="B8" s="2">
        <v>46028</v>
      </c>
      <c r="C8" s="4" t="s">
        <v>7</v>
      </c>
      <c r="D8" t="s">
        <v>18</v>
      </c>
      <c r="E8" s="4">
        <v>15</v>
      </c>
      <c r="F8" s="8" t="s">
        <v>28</v>
      </c>
      <c r="G8" s="7">
        <v>46028</v>
      </c>
      <c r="I8" s="2"/>
      <c r="J8">
        <f>SUM(J5,J6)</f>
        <v>350</v>
      </c>
    </row>
    <row r="9" spans="1:18" x14ac:dyDescent="0.3">
      <c r="B9" s="2">
        <v>46029</v>
      </c>
      <c r="C9" s="4" t="s">
        <v>10</v>
      </c>
      <c r="D9" t="s">
        <v>19</v>
      </c>
      <c r="E9" s="4">
        <v>60</v>
      </c>
      <c r="F9" s="8" t="s">
        <v>28</v>
      </c>
      <c r="G9" s="7">
        <v>46029</v>
      </c>
      <c r="I9" s="2"/>
      <c r="J9" s="4"/>
      <c r="L9" s="4"/>
    </row>
    <row r="10" spans="1:18" x14ac:dyDescent="0.3">
      <c r="B10" s="2">
        <v>46030</v>
      </c>
      <c r="C10" s="4" t="s">
        <v>11</v>
      </c>
      <c r="D10" t="s">
        <v>20</v>
      </c>
      <c r="E10" s="4">
        <v>2000</v>
      </c>
      <c r="F10" s="6" t="s">
        <v>30</v>
      </c>
      <c r="G10" s="7">
        <v>46030</v>
      </c>
      <c r="I10" s="2"/>
      <c r="J10" s="4"/>
      <c r="L10" s="4"/>
    </row>
    <row r="11" spans="1:18" x14ac:dyDescent="0.3">
      <c r="B11" s="2">
        <v>46031</v>
      </c>
      <c r="C11" s="4" t="s">
        <v>6</v>
      </c>
      <c r="D11" t="s">
        <v>21</v>
      </c>
      <c r="E11" s="4">
        <v>150</v>
      </c>
      <c r="F11" s="9" t="s">
        <v>29</v>
      </c>
      <c r="G11" s="7">
        <v>46031</v>
      </c>
    </row>
    <row r="12" spans="1:18" ht="23.4" x14ac:dyDescent="0.45">
      <c r="B12" s="2">
        <v>46032</v>
      </c>
      <c r="C12" s="4" t="s">
        <v>7</v>
      </c>
      <c r="D12" t="s">
        <v>22</v>
      </c>
      <c r="E12" s="4">
        <v>300</v>
      </c>
      <c r="F12" s="8" t="s">
        <v>28</v>
      </c>
      <c r="G12" s="7">
        <v>46032</v>
      </c>
      <c r="L12" s="10" t="s">
        <v>36</v>
      </c>
    </row>
    <row r="13" spans="1:18" x14ac:dyDescent="0.3">
      <c r="B13" s="2">
        <v>46033</v>
      </c>
      <c r="C13" s="4" t="s">
        <v>11</v>
      </c>
      <c r="D13" t="s">
        <v>23</v>
      </c>
      <c r="E13" s="4">
        <v>950</v>
      </c>
      <c r="F13" s="6" t="s">
        <v>30</v>
      </c>
      <c r="G13" s="7">
        <v>46033</v>
      </c>
      <c r="K13" t="s">
        <v>37</v>
      </c>
      <c r="L13" s="5" t="s">
        <v>6</v>
      </c>
      <c r="M13" s="3" t="s">
        <v>38</v>
      </c>
      <c r="N13" t="s">
        <v>39</v>
      </c>
      <c r="O13" t="s">
        <v>40</v>
      </c>
    </row>
    <row r="14" spans="1:18" x14ac:dyDescent="0.3">
      <c r="B14" s="2">
        <v>46034</v>
      </c>
      <c r="C14" s="4" t="s">
        <v>9</v>
      </c>
      <c r="D14" t="s">
        <v>24</v>
      </c>
      <c r="E14" s="4">
        <v>1100</v>
      </c>
      <c r="F14" s="9" t="s">
        <v>29</v>
      </c>
      <c r="G14" s="7">
        <v>46034</v>
      </c>
      <c r="K14" t="s">
        <v>41</v>
      </c>
      <c r="L14">
        <v>250</v>
      </c>
      <c r="M14">
        <v>3</v>
      </c>
      <c r="N14">
        <v>350</v>
      </c>
      <c r="O14">
        <f>((N14*M14)+L14)</f>
        <v>1300</v>
      </c>
    </row>
    <row r="15" spans="1:18" x14ac:dyDescent="0.3">
      <c r="B15" s="2">
        <v>46035</v>
      </c>
      <c r="C15" s="4" t="s">
        <v>12</v>
      </c>
      <c r="D15" t="s">
        <v>25</v>
      </c>
      <c r="E15" s="4">
        <v>1000</v>
      </c>
      <c r="F15" s="9" t="s">
        <v>29</v>
      </c>
      <c r="G15" s="7">
        <v>46035</v>
      </c>
    </row>
    <row r="16" spans="1:18" x14ac:dyDescent="0.3">
      <c r="B16" s="2">
        <v>46036</v>
      </c>
      <c r="C16" s="4" t="s">
        <v>7</v>
      </c>
      <c r="D16" t="s">
        <v>26</v>
      </c>
      <c r="E16" s="4">
        <v>60</v>
      </c>
      <c r="F16" s="9" t="s">
        <v>29</v>
      </c>
      <c r="G16" s="7">
        <v>46036</v>
      </c>
    </row>
    <row r="17" spans="2:7" x14ac:dyDescent="0.3">
      <c r="B17" s="2">
        <v>46037</v>
      </c>
      <c r="C17" s="4" t="s">
        <v>6</v>
      </c>
      <c r="D17" t="s">
        <v>27</v>
      </c>
      <c r="E17" s="4">
        <v>200</v>
      </c>
      <c r="F17" s="8" t="s">
        <v>28</v>
      </c>
      <c r="G17" s="7">
        <v>46037</v>
      </c>
    </row>
    <row r="18" spans="2:7" x14ac:dyDescent="0.3">
      <c r="B18" s="2"/>
      <c r="C18" s="4"/>
      <c r="E18" s="4"/>
      <c r="F18" s="6"/>
    </row>
    <row r="19" spans="2:7" x14ac:dyDescent="0.3">
      <c r="B19" s="2"/>
      <c r="C19" s="4"/>
      <c r="E19" s="4"/>
      <c r="F19" s="6"/>
    </row>
    <row r="20" spans="2:7" x14ac:dyDescent="0.3">
      <c r="B20" s="2"/>
      <c r="C20" s="4"/>
      <c r="E20" s="4"/>
      <c r="F20" s="6"/>
    </row>
    <row r="21" spans="2:7" x14ac:dyDescent="0.3">
      <c r="B21" s="2"/>
      <c r="C21" s="4"/>
      <c r="E21" s="4"/>
      <c r="F21" s="6"/>
    </row>
    <row r="25" spans="2:7" x14ac:dyDescent="0.3">
      <c r="B25" s="2"/>
      <c r="C25" s="4"/>
      <c r="E25" s="4"/>
      <c r="F25" s="6"/>
    </row>
    <row r="26" spans="2:7" x14ac:dyDescent="0.3">
      <c r="B26" s="2"/>
      <c r="C26" s="4"/>
      <c r="E26" s="4"/>
      <c r="F26" s="6"/>
    </row>
    <row r="27" spans="2:7" x14ac:dyDescent="0.3">
      <c r="B27" s="2"/>
      <c r="C27" s="4"/>
      <c r="E27" s="4"/>
      <c r="F27" s="6"/>
    </row>
    <row r="28" spans="2:7" x14ac:dyDescent="0.3">
      <c r="B28" s="2"/>
      <c r="C28" s="4"/>
      <c r="E28" s="4"/>
      <c r="F28" s="6"/>
    </row>
    <row r="29" spans="2:7" x14ac:dyDescent="0.3">
      <c r="B29" s="2"/>
      <c r="C29" s="4"/>
      <c r="E29" s="4"/>
      <c r="F29" s="6"/>
    </row>
    <row r="30" spans="2:7" x14ac:dyDescent="0.3">
      <c r="B30" s="2"/>
      <c r="C30" s="4"/>
      <c r="E30" s="4"/>
      <c r="F30" s="6"/>
    </row>
    <row r="31" spans="2:7" x14ac:dyDescent="0.3">
      <c r="B31" s="2"/>
      <c r="C31" s="4"/>
      <c r="E31" s="4"/>
      <c r="F31" s="6"/>
    </row>
    <row r="32" spans="2:7" x14ac:dyDescent="0.3">
      <c r="B32" s="2"/>
      <c r="C32" s="4"/>
      <c r="E32" s="4"/>
      <c r="F32" s="6"/>
    </row>
  </sheetData>
  <mergeCells count="1">
    <mergeCell ref="A1:R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3EF56-A8AD-44D0-BBA3-E211134EA680}">
  <dimension ref="B1:K18"/>
  <sheetViews>
    <sheetView tabSelected="1" workbookViewId="0">
      <selection activeCell="K6" sqref="K6"/>
    </sheetView>
  </sheetViews>
  <sheetFormatPr defaultRowHeight="14.4" x14ac:dyDescent="0.3"/>
  <cols>
    <col min="2" max="2" width="10.33203125" bestFit="1" customWidth="1"/>
    <col min="3" max="3" width="14.5546875" bestFit="1" customWidth="1"/>
    <col min="4" max="4" width="20.44140625" bestFit="1" customWidth="1"/>
    <col min="5" max="5" width="9.88671875" bestFit="1" customWidth="1"/>
    <col min="6" max="6" width="22.109375" bestFit="1" customWidth="1"/>
    <col min="7" max="7" width="14.77734375" bestFit="1" customWidth="1"/>
    <col min="8" max="8" width="10.88671875" bestFit="1" customWidth="1"/>
    <col min="9" max="9" width="21.21875" bestFit="1" customWidth="1"/>
    <col min="10" max="10" width="11.44140625" bestFit="1" customWidth="1"/>
    <col min="11" max="11" width="24" bestFit="1" customWidth="1"/>
  </cols>
  <sheetData>
    <row r="1" spans="2:11" ht="21" x14ac:dyDescent="0.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31</v>
      </c>
      <c r="H1" s="1" t="s">
        <v>95</v>
      </c>
      <c r="I1" s="1" t="s">
        <v>96</v>
      </c>
      <c r="J1" s="1" t="s">
        <v>98</v>
      </c>
      <c r="K1" s="1" t="s">
        <v>99</v>
      </c>
    </row>
    <row r="2" spans="2:11" x14ac:dyDescent="0.3">
      <c r="B2" s="2">
        <v>46023</v>
      </c>
      <c r="C2" s="4" t="s">
        <v>6</v>
      </c>
      <c r="D2" t="s">
        <v>13</v>
      </c>
      <c r="E2" s="4">
        <v>30</v>
      </c>
      <c r="F2" s="8" t="s">
        <v>28</v>
      </c>
      <c r="G2" s="7">
        <v>46023</v>
      </c>
      <c r="H2" s="2">
        <v>46027</v>
      </c>
      <c r="I2" t="s">
        <v>97</v>
      </c>
      <c r="J2">
        <v>23</v>
      </c>
      <c r="K2" t="s">
        <v>100</v>
      </c>
    </row>
    <row r="3" spans="2:11" x14ac:dyDescent="0.3">
      <c r="B3" s="2">
        <v>46024</v>
      </c>
      <c r="C3" s="4" t="s">
        <v>7</v>
      </c>
      <c r="D3" t="s">
        <v>14</v>
      </c>
      <c r="E3" s="4">
        <v>30</v>
      </c>
      <c r="F3" s="9" t="s">
        <v>29</v>
      </c>
      <c r="G3" s="7">
        <v>46024</v>
      </c>
      <c r="K3" t="s">
        <v>29</v>
      </c>
    </row>
    <row r="4" spans="2:11" x14ac:dyDescent="0.3">
      <c r="B4" s="2">
        <v>46025</v>
      </c>
      <c r="C4" s="4" t="s">
        <v>8</v>
      </c>
      <c r="D4" t="s">
        <v>15</v>
      </c>
      <c r="E4" s="4">
        <v>200</v>
      </c>
      <c r="F4" s="9" t="s">
        <v>29</v>
      </c>
      <c r="G4" s="7">
        <v>46025</v>
      </c>
      <c r="K4" t="s">
        <v>29</v>
      </c>
    </row>
    <row r="5" spans="2:11" x14ac:dyDescent="0.3">
      <c r="B5" s="2">
        <v>46026</v>
      </c>
      <c r="C5" s="4" t="s">
        <v>6</v>
      </c>
      <c r="D5" t="s">
        <v>16</v>
      </c>
      <c r="E5" s="4">
        <v>900</v>
      </c>
      <c r="F5" s="6" t="s">
        <v>30</v>
      </c>
      <c r="G5" s="7">
        <v>46026</v>
      </c>
      <c r="K5" t="s">
        <v>100</v>
      </c>
    </row>
    <row r="6" spans="2:11" x14ac:dyDescent="0.3">
      <c r="B6" s="2">
        <v>46027</v>
      </c>
      <c r="C6" s="4" t="s">
        <v>9</v>
      </c>
      <c r="D6" t="s">
        <v>17</v>
      </c>
      <c r="E6" s="4">
        <v>1500</v>
      </c>
      <c r="F6" s="9" t="s">
        <v>29</v>
      </c>
      <c r="G6" s="7">
        <v>46027</v>
      </c>
    </row>
    <row r="7" spans="2:11" x14ac:dyDescent="0.3">
      <c r="B7" s="2">
        <v>46028</v>
      </c>
      <c r="C7" s="4" t="s">
        <v>7</v>
      </c>
      <c r="D7" t="s">
        <v>18</v>
      </c>
      <c r="E7" s="4">
        <v>15</v>
      </c>
      <c r="F7" s="8" t="s">
        <v>28</v>
      </c>
      <c r="G7" s="7">
        <v>46028</v>
      </c>
    </row>
    <row r="8" spans="2:11" x14ac:dyDescent="0.3">
      <c r="B8" s="2">
        <v>46029</v>
      </c>
      <c r="C8" s="4" t="s">
        <v>10</v>
      </c>
      <c r="D8" t="s">
        <v>19</v>
      </c>
      <c r="E8" s="4">
        <v>60</v>
      </c>
      <c r="F8" s="8" t="s">
        <v>28</v>
      </c>
      <c r="G8" s="7">
        <v>46029</v>
      </c>
    </row>
    <row r="9" spans="2:11" x14ac:dyDescent="0.3">
      <c r="B9" s="2">
        <v>46030</v>
      </c>
      <c r="C9" s="4" t="s">
        <v>11</v>
      </c>
      <c r="D9" t="s">
        <v>20</v>
      </c>
      <c r="E9" s="4">
        <v>2000</v>
      </c>
      <c r="F9" s="6" t="s">
        <v>30</v>
      </c>
      <c r="G9" s="7">
        <v>46030</v>
      </c>
    </row>
    <row r="10" spans="2:11" x14ac:dyDescent="0.3">
      <c r="B10" s="2">
        <v>46031</v>
      </c>
      <c r="C10" s="4" t="s">
        <v>6</v>
      </c>
      <c r="D10" t="s">
        <v>21</v>
      </c>
      <c r="E10" s="4">
        <v>150</v>
      </c>
      <c r="F10" s="9" t="s">
        <v>29</v>
      </c>
      <c r="G10" s="7">
        <v>46031</v>
      </c>
    </row>
    <row r="11" spans="2:11" x14ac:dyDescent="0.3">
      <c r="B11" s="2">
        <v>46032</v>
      </c>
      <c r="C11" s="4" t="s">
        <v>7</v>
      </c>
      <c r="D11" t="s">
        <v>22</v>
      </c>
      <c r="E11" s="4">
        <v>300</v>
      </c>
      <c r="F11" s="8" t="s">
        <v>28</v>
      </c>
      <c r="G11" s="7">
        <v>46032</v>
      </c>
    </row>
    <row r="12" spans="2:11" x14ac:dyDescent="0.3">
      <c r="B12" s="2">
        <v>46033</v>
      </c>
      <c r="C12" s="4" t="s">
        <v>11</v>
      </c>
      <c r="D12" t="s">
        <v>23</v>
      </c>
      <c r="E12" s="4">
        <v>950</v>
      </c>
      <c r="F12" s="6" t="s">
        <v>30</v>
      </c>
      <c r="G12" s="7">
        <v>46033</v>
      </c>
    </row>
    <row r="13" spans="2:11" x14ac:dyDescent="0.3">
      <c r="B13" s="2">
        <v>46034</v>
      </c>
      <c r="C13" s="4" t="s">
        <v>9</v>
      </c>
      <c r="D13" t="s">
        <v>24</v>
      </c>
      <c r="E13" s="4">
        <v>1100</v>
      </c>
      <c r="F13" s="9" t="s">
        <v>29</v>
      </c>
      <c r="G13" s="7">
        <v>46034</v>
      </c>
    </row>
    <row r="14" spans="2:11" x14ac:dyDescent="0.3">
      <c r="B14" s="2">
        <v>46035</v>
      </c>
      <c r="C14" s="4" t="s">
        <v>12</v>
      </c>
      <c r="D14" t="s">
        <v>25</v>
      </c>
      <c r="E14" s="4">
        <v>1000</v>
      </c>
      <c r="F14" s="9" t="s">
        <v>29</v>
      </c>
      <c r="G14" s="7">
        <v>46035</v>
      </c>
    </row>
    <row r="15" spans="2:11" x14ac:dyDescent="0.3">
      <c r="B15" s="2">
        <v>46036</v>
      </c>
      <c r="C15" s="4" t="s">
        <v>7</v>
      </c>
      <c r="D15" t="s">
        <v>26</v>
      </c>
      <c r="E15" s="4">
        <v>60</v>
      </c>
      <c r="F15" s="9" t="s">
        <v>29</v>
      </c>
      <c r="G15" s="7">
        <v>46036</v>
      </c>
    </row>
    <row r="16" spans="2:11" x14ac:dyDescent="0.3">
      <c r="B16" s="2">
        <v>46037</v>
      </c>
      <c r="C16" s="4" t="s">
        <v>6</v>
      </c>
      <c r="D16" t="s">
        <v>27</v>
      </c>
      <c r="E16" s="4">
        <v>200</v>
      </c>
      <c r="F16" s="8" t="s">
        <v>28</v>
      </c>
      <c r="G16" s="7">
        <v>46037</v>
      </c>
    </row>
    <row r="17" spans="2:6" x14ac:dyDescent="0.3">
      <c r="B17" s="2"/>
      <c r="C17" s="4"/>
      <c r="E17" s="4"/>
      <c r="F17" s="6"/>
    </row>
    <row r="18" spans="2:6" x14ac:dyDescent="0.3">
      <c r="B18" s="2"/>
      <c r="C18" s="4"/>
      <c r="E18" s="4"/>
      <c r="F18" s="6"/>
    </row>
  </sheetData>
  <dataValidations count="4">
    <dataValidation type="date" allowBlank="1" showInputMessage="1" showErrorMessage="1" sqref="H2:H17" xr:uid="{40E0F4A1-CB17-487F-8473-A808AC0BE773}">
      <formula1>46023</formula1>
      <formula2>46053</formula2>
    </dataValidation>
    <dataValidation type="textLength" allowBlank="1" showInputMessage="1" showErrorMessage="1" sqref="I1:I1048576" xr:uid="{8922F415-6028-469C-830D-39AACF623323}">
      <formula1>1</formula1>
      <formula2>20</formula2>
    </dataValidation>
    <dataValidation type="whole" allowBlank="1" showInputMessage="1" showErrorMessage="1" sqref="J2:J17" xr:uid="{BA8BA7EB-6C4D-4762-BC88-2971021A5237}">
      <formula1>10</formula1>
      <formula2>50000</formula2>
    </dataValidation>
    <dataValidation type="list" allowBlank="1" showInputMessage="1" showErrorMessage="1" sqref="K2:K17" xr:uid="{EB413269-84B0-4BEF-AE61-13B0D3FFDBE5}">
      <formula1>"Cash,Card,UPI"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551FE-06C8-46FB-B2D6-0E4F8FC41272}">
  <dimension ref="A1:O19"/>
  <sheetViews>
    <sheetView topLeftCell="D1" zoomScale="129" zoomScaleNormal="129" workbookViewId="0">
      <selection activeCell="G2" sqref="G2"/>
    </sheetView>
  </sheetViews>
  <sheetFormatPr defaultRowHeight="14.4" x14ac:dyDescent="0.3"/>
  <cols>
    <col min="1" max="1" width="5.5546875" bestFit="1" customWidth="1"/>
    <col min="2" max="2" width="9.88671875" bestFit="1" customWidth="1"/>
    <col min="4" max="4" width="23.21875" bestFit="1" customWidth="1"/>
    <col min="5" max="5" width="19.44140625" bestFit="1" customWidth="1"/>
    <col min="6" max="6" width="23.21875" bestFit="1" customWidth="1"/>
    <col min="7" max="7" width="19.44140625" bestFit="1" customWidth="1"/>
  </cols>
  <sheetData>
    <row r="1" spans="1:15" x14ac:dyDescent="0.3">
      <c r="A1" t="s">
        <v>42</v>
      </c>
      <c r="B1" t="s">
        <v>43</v>
      </c>
      <c r="C1" t="s">
        <v>44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</row>
    <row r="2" spans="1:15" x14ac:dyDescent="0.3">
      <c r="A2" t="s">
        <v>45</v>
      </c>
      <c r="B2" t="s">
        <v>46</v>
      </c>
      <c r="C2" t="s">
        <v>47</v>
      </c>
      <c r="D2" t="str">
        <f>CONCATENATE(A2," ", B2," ",C2)</f>
        <v>MR. JON YANG</v>
      </c>
      <c r="E2" t="str">
        <f>LOWER(D2)</f>
        <v>mr. jon yang</v>
      </c>
      <c r="F2" t="str">
        <f>UPPER(B2)</f>
        <v>JON</v>
      </c>
      <c r="G2" t="str">
        <f>PROPER(F2)</f>
        <v>Jon</v>
      </c>
      <c r="H2">
        <f>LEN(G2)</f>
        <v>3</v>
      </c>
      <c r="I2" t="str">
        <f>LEFT(G2)</f>
        <v>J</v>
      </c>
      <c r="J2" t="str">
        <f>RIGHT(G2)</f>
        <v>n</v>
      </c>
      <c r="K2" t="str">
        <f>MID(G2,2,3)</f>
        <v>on</v>
      </c>
      <c r="L2">
        <f>FIND("o",G2)</f>
        <v>2</v>
      </c>
      <c r="M2">
        <f>SEARCH("o",F2)</f>
        <v>2</v>
      </c>
      <c r="N2" t="str">
        <f>REPLACE(G2,2,1,"a")</f>
        <v>Jan</v>
      </c>
    </row>
    <row r="3" spans="1:15" x14ac:dyDescent="0.3">
      <c r="A3" t="s">
        <v>45</v>
      </c>
      <c r="B3" t="s">
        <v>48</v>
      </c>
      <c r="C3" t="s">
        <v>49</v>
      </c>
      <c r="D3" t="str">
        <f t="shared" ref="D3:D19" si="0">CONCATENATE(A3," ", B3," ",C3)</f>
        <v>MR. EUGENE HUANG</v>
      </c>
      <c r="E3" t="str">
        <f t="shared" ref="E3:E19" si="1">LOWER(D3)</f>
        <v>mr. eugene huang</v>
      </c>
      <c r="F3" t="str">
        <f t="shared" ref="F3:F19" si="2">UPPER(B3)</f>
        <v>EUGENE</v>
      </c>
      <c r="G3" t="str">
        <f t="shared" ref="G3:G19" si="3">PROPER(F3)</f>
        <v>Eugene</v>
      </c>
      <c r="H3">
        <f t="shared" ref="H3:H19" si="4">LEN(G3)</f>
        <v>6</v>
      </c>
      <c r="I3" t="str">
        <f t="shared" ref="I3:I19" si="5">LEFT(G3)</f>
        <v>E</v>
      </c>
      <c r="J3" t="str">
        <f t="shared" ref="J3:J19" si="6">RIGHT(G3)</f>
        <v>e</v>
      </c>
      <c r="K3" t="str">
        <f t="shared" ref="K3:K19" si="7">MID(G3,2,3)</f>
        <v>uge</v>
      </c>
      <c r="O3" t="str">
        <f>SUBSTITUTE(G3,"e", "i", 1)</f>
        <v>Eugine</v>
      </c>
    </row>
    <row r="4" spans="1:15" x14ac:dyDescent="0.3">
      <c r="A4" t="s">
        <v>45</v>
      </c>
      <c r="B4" t="s">
        <v>50</v>
      </c>
      <c r="C4" t="s">
        <v>51</v>
      </c>
      <c r="D4" t="str">
        <f t="shared" si="0"/>
        <v>MR. RUBEN TORRES</v>
      </c>
      <c r="E4" t="str">
        <f t="shared" si="1"/>
        <v>mr. ruben torres</v>
      </c>
      <c r="F4" t="str">
        <f t="shared" si="2"/>
        <v>RUBEN</v>
      </c>
      <c r="G4" t="str">
        <f t="shared" si="3"/>
        <v>Ruben</v>
      </c>
      <c r="H4">
        <f t="shared" si="4"/>
        <v>5</v>
      </c>
      <c r="I4" t="str">
        <f t="shared" si="5"/>
        <v>R</v>
      </c>
      <c r="J4" t="str">
        <f t="shared" si="6"/>
        <v>n</v>
      </c>
      <c r="K4" t="str">
        <f t="shared" si="7"/>
        <v>ube</v>
      </c>
    </row>
    <row r="5" spans="1:15" x14ac:dyDescent="0.3">
      <c r="A5" t="s">
        <v>52</v>
      </c>
      <c r="B5" t="s">
        <v>53</v>
      </c>
      <c r="C5" t="s">
        <v>54</v>
      </c>
      <c r="D5" t="str">
        <f t="shared" si="0"/>
        <v>MS. CHRISTY ZHU</v>
      </c>
      <c r="E5" t="str">
        <f t="shared" si="1"/>
        <v>ms. christy zhu</v>
      </c>
      <c r="F5" t="str">
        <f t="shared" si="2"/>
        <v>CHRISTY</v>
      </c>
      <c r="G5" t="str">
        <f t="shared" si="3"/>
        <v>Christy</v>
      </c>
      <c r="H5">
        <f t="shared" si="4"/>
        <v>7</v>
      </c>
      <c r="I5" t="str">
        <f t="shared" si="5"/>
        <v>C</v>
      </c>
      <c r="J5" t="str">
        <f t="shared" si="6"/>
        <v>y</v>
      </c>
      <c r="K5" t="str">
        <f t="shared" si="7"/>
        <v>hri</v>
      </c>
    </row>
    <row r="6" spans="1:15" x14ac:dyDescent="0.3">
      <c r="A6" t="s">
        <v>55</v>
      </c>
      <c r="B6" t="s">
        <v>56</v>
      </c>
      <c r="C6" t="s">
        <v>57</v>
      </c>
      <c r="D6" t="str">
        <f t="shared" si="0"/>
        <v>MRS. ELIZABETH JOHNSON</v>
      </c>
      <c r="E6" t="str">
        <f t="shared" si="1"/>
        <v>mrs. elizabeth johnson</v>
      </c>
      <c r="F6" t="str">
        <f t="shared" si="2"/>
        <v>ELIZABETH</v>
      </c>
      <c r="G6" t="str">
        <f t="shared" si="3"/>
        <v>Elizabeth</v>
      </c>
      <c r="H6">
        <f t="shared" si="4"/>
        <v>9</v>
      </c>
      <c r="I6" t="str">
        <f t="shared" si="5"/>
        <v>E</v>
      </c>
      <c r="J6" t="str">
        <f t="shared" si="6"/>
        <v>h</v>
      </c>
      <c r="K6" t="str">
        <f t="shared" si="7"/>
        <v>liz</v>
      </c>
    </row>
    <row r="7" spans="1:15" x14ac:dyDescent="0.3">
      <c r="A7" t="s">
        <v>45</v>
      </c>
      <c r="B7" t="s">
        <v>58</v>
      </c>
      <c r="C7" t="s">
        <v>59</v>
      </c>
      <c r="D7" t="str">
        <f t="shared" si="0"/>
        <v>MR. JULIO RUIZ</v>
      </c>
      <c r="E7" t="str">
        <f t="shared" si="1"/>
        <v>mr. julio ruiz</v>
      </c>
      <c r="F7" t="str">
        <f t="shared" si="2"/>
        <v>JULIO</v>
      </c>
      <c r="G7" t="str">
        <f t="shared" si="3"/>
        <v>Julio</v>
      </c>
      <c r="H7">
        <f t="shared" si="4"/>
        <v>5</v>
      </c>
      <c r="I7" t="str">
        <f t="shared" si="5"/>
        <v>J</v>
      </c>
      <c r="J7" t="str">
        <f t="shared" si="6"/>
        <v>o</v>
      </c>
      <c r="K7" t="str">
        <f t="shared" si="7"/>
        <v>uli</v>
      </c>
    </row>
    <row r="8" spans="1:15" x14ac:dyDescent="0.3">
      <c r="A8" t="s">
        <v>45</v>
      </c>
      <c r="B8" t="s">
        <v>60</v>
      </c>
      <c r="C8" t="s">
        <v>61</v>
      </c>
      <c r="D8" t="str">
        <f t="shared" si="0"/>
        <v>MR. MARCO MEHTA</v>
      </c>
      <c r="E8" t="str">
        <f t="shared" si="1"/>
        <v>mr. marco mehta</v>
      </c>
      <c r="F8" t="str">
        <f t="shared" si="2"/>
        <v>MARCO</v>
      </c>
      <c r="G8" t="str">
        <f t="shared" si="3"/>
        <v>Marco</v>
      </c>
      <c r="H8">
        <f t="shared" si="4"/>
        <v>5</v>
      </c>
      <c r="I8" t="str">
        <f t="shared" si="5"/>
        <v>M</v>
      </c>
      <c r="J8" t="str">
        <f t="shared" si="6"/>
        <v>o</v>
      </c>
      <c r="K8" t="str">
        <f t="shared" si="7"/>
        <v>arc</v>
      </c>
    </row>
    <row r="9" spans="1:15" x14ac:dyDescent="0.3">
      <c r="A9" t="s">
        <v>55</v>
      </c>
      <c r="B9" t="s">
        <v>62</v>
      </c>
      <c r="C9" t="s">
        <v>63</v>
      </c>
      <c r="D9" t="str">
        <f t="shared" si="0"/>
        <v>MRS. ROBIN VERHOFF</v>
      </c>
      <c r="E9" t="str">
        <f t="shared" si="1"/>
        <v>mrs. robin verhoff</v>
      </c>
      <c r="F9" t="str">
        <f t="shared" si="2"/>
        <v>ROBIN</v>
      </c>
      <c r="G9" t="str">
        <f t="shared" si="3"/>
        <v>Robin</v>
      </c>
      <c r="H9">
        <f t="shared" si="4"/>
        <v>5</v>
      </c>
      <c r="I9" t="str">
        <f t="shared" si="5"/>
        <v>R</v>
      </c>
      <c r="J9" t="str">
        <f t="shared" si="6"/>
        <v>n</v>
      </c>
      <c r="K9" t="str">
        <f t="shared" si="7"/>
        <v>obi</v>
      </c>
    </row>
    <row r="10" spans="1:15" x14ac:dyDescent="0.3">
      <c r="A10" t="s">
        <v>45</v>
      </c>
      <c r="B10" t="s">
        <v>64</v>
      </c>
      <c r="C10" t="s">
        <v>65</v>
      </c>
      <c r="D10" t="str">
        <f t="shared" si="0"/>
        <v>MR. SHANNON CARLSON</v>
      </c>
      <c r="E10" t="str">
        <f t="shared" si="1"/>
        <v>mr. shannon carlson</v>
      </c>
      <c r="F10" t="str">
        <f t="shared" si="2"/>
        <v>SHANNON</v>
      </c>
      <c r="G10" t="str">
        <f t="shared" si="3"/>
        <v>Shannon</v>
      </c>
      <c r="H10">
        <f t="shared" si="4"/>
        <v>7</v>
      </c>
      <c r="I10" t="str">
        <f t="shared" si="5"/>
        <v>S</v>
      </c>
      <c r="J10" t="str">
        <f t="shared" si="6"/>
        <v>n</v>
      </c>
      <c r="K10" t="str">
        <f t="shared" si="7"/>
        <v>han</v>
      </c>
    </row>
    <row r="11" spans="1:15" x14ac:dyDescent="0.3">
      <c r="A11" t="s">
        <v>52</v>
      </c>
      <c r="B11" t="s">
        <v>66</v>
      </c>
      <c r="C11" t="s">
        <v>67</v>
      </c>
      <c r="D11" t="str">
        <f t="shared" si="0"/>
        <v>MS. JACQUELY SUAREZ</v>
      </c>
      <c r="E11" t="str">
        <f t="shared" si="1"/>
        <v>ms. jacquely suarez</v>
      </c>
      <c r="F11" t="str">
        <f t="shared" si="2"/>
        <v>JACQUELY</v>
      </c>
      <c r="G11" t="str">
        <f t="shared" si="3"/>
        <v>Jacquely</v>
      </c>
      <c r="H11">
        <f t="shared" si="4"/>
        <v>8</v>
      </c>
      <c r="I11" t="str">
        <f t="shared" si="5"/>
        <v>J</v>
      </c>
      <c r="J11" t="str">
        <f t="shared" si="6"/>
        <v>y</v>
      </c>
      <c r="K11" t="str">
        <f t="shared" si="7"/>
        <v>acq</v>
      </c>
    </row>
    <row r="12" spans="1:15" x14ac:dyDescent="0.3">
      <c r="A12" t="s">
        <v>45</v>
      </c>
      <c r="B12" t="s">
        <v>68</v>
      </c>
      <c r="C12" t="s">
        <v>69</v>
      </c>
      <c r="D12" t="str">
        <f t="shared" si="0"/>
        <v>MR. CURTIS LU</v>
      </c>
      <c r="E12" t="str">
        <f t="shared" si="1"/>
        <v>mr. curtis lu</v>
      </c>
      <c r="F12" t="str">
        <f t="shared" si="2"/>
        <v>CURTIS</v>
      </c>
      <c r="G12" t="str">
        <f t="shared" si="3"/>
        <v>Curtis</v>
      </c>
      <c r="H12">
        <f t="shared" si="4"/>
        <v>6</v>
      </c>
      <c r="I12" t="str">
        <f t="shared" si="5"/>
        <v>C</v>
      </c>
      <c r="J12" t="str">
        <f t="shared" si="6"/>
        <v>s</v>
      </c>
      <c r="K12" t="str">
        <f t="shared" si="7"/>
        <v>urt</v>
      </c>
    </row>
    <row r="13" spans="1:15" x14ac:dyDescent="0.3">
      <c r="A13" t="s">
        <v>55</v>
      </c>
      <c r="B13" t="s">
        <v>70</v>
      </c>
      <c r="C13" t="s">
        <v>71</v>
      </c>
      <c r="D13" t="str">
        <f t="shared" si="0"/>
        <v>MRS. LAUREN WALKER</v>
      </c>
      <c r="E13" t="str">
        <f t="shared" si="1"/>
        <v>mrs. lauren walker</v>
      </c>
      <c r="F13" t="str">
        <f t="shared" si="2"/>
        <v>LAUREN</v>
      </c>
      <c r="G13" t="str">
        <f t="shared" si="3"/>
        <v>Lauren</v>
      </c>
      <c r="H13">
        <f t="shared" si="4"/>
        <v>6</v>
      </c>
      <c r="I13" t="str">
        <f t="shared" si="5"/>
        <v>L</v>
      </c>
      <c r="J13" t="str">
        <f t="shared" si="6"/>
        <v>n</v>
      </c>
      <c r="K13" t="str">
        <f t="shared" si="7"/>
        <v>aur</v>
      </c>
    </row>
    <row r="14" spans="1:15" x14ac:dyDescent="0.3">
      <c r="A14" t="s">
        <v>45</v>
      </c>
      <c r="B14" t="s">
        <v>72</v>
      </c>
      <c r="C14" t="s">
        <v>73</v>
      </c>
      <c r="D14" t="str">
        <f t="shared" si="0"/>
        <v>MR. IAN JENKINS</v>
      </c>
      <c r="E14" t="str">
        <f t="shared" si="1"/>
        <v>mr. ian jenkins</v>
      </c>
      <c r="F14" t="str">
        <f t="shared" si="2"/>
        <v>IAN</v>
      </c>
      <c r="G14" t="str">
        <f t="shared" si="3"/>
        <v>Ian</v>
      </c>
      <c r="H14">
        <f t="shared" si="4"/>
        <v>3</v>
      </c>
      <c r="I14" t="str">
        <f t="shared" si="5"/>
        <v>I</v>
      </c>
      <c r="J14" t="str">
        <f t="shared" si="6"/>
        <v>n</v>
      </c>
      <c r="K14" t="str">
        <f t="shared" si="7"/>
        <v>an</v>
      </c>
    </row>
    <row r="15" spans="1:15" x14ac:dyDescent="0.3">
      <c r="A15" t="s">
        <v>55</v>
      </c>
      <c r="B15" t="s">
        <v>74</v>
      </c>
      <c r="C15" t="s">
        <v>75</v>
      </c>
      <c r="D15" t="str">
        <f t="shared" si="0"/>
        <v>MRS. SYDNEY BENNETT</v>
      </c>
      <c r="E15" t="str">
        <f t="shared" si="1"/>
        <v>mrs. sydney bennett</v>
      </c>
      <c r="F15" t="str">
        <f t="shared" si="2"/>
        <v>SYDNEY</v>
      </c>
      <c r="G15" t="str">
        <f t="shared" si="3"/>
        <v>Sydney</v>
      </c>
      <c r="H15">
        <f t="shared" si="4"/>
        <v>6</v>
      </c>
      <c r="I15" t="str">
        <f t="shared" si="5"/>
        <v>S</v>
      </c>
      <c r="J15" t="str">
        <f t="shared" si="6"/>
        <v>y</v>
      </c>
      <c r="K15" t="str">
        <f t="shared" si="7"/>
        <v>ydn</v>
      </c>
    </row>
    <row r="16" spans="1:15" x14ac:dyDescent="0.3">
      <c r="A16" t="s">
        <v>52</v>
      </c>
      <c r="B16" t="s">
        <v>76</v>
      </c>
      <c r="C16" t="s">
        <v>77</v>
      </c>
      <c r="D16" t="str">
        <f t="shared" si="0"/>
        <v>MS. CHLOE YOUNG</v>
      </c>
      <c r="E16" t="str">
        <f t="shared" si="1"/>
        <v>ms. chloe young</v>
      </c>
      <c r="F16" t="str">
        <f t="shared" si="2"/>
        <v>CHLOE</v>
      </c>
      <c r="G16" t="str">
        <f t="shared" si="3"/>
        <v>Chloe</v>
      </c>
      <c r="H16">
        <f t="shared" si="4"/>
        <v>5</v>
      </c>
      <c r="I16" t="str">
        <f t="shared" si="5"/>
        <v>C</v>
      </c>
      <c r="J16" t="str">
        <f t="shared" si="6"/>
        <v>e</v>
      </c>
      <c r="K16" t="str">
        <f t="shared" si="7"/>
        <v>hlo</v>
      </c>
    </row>
    <row r="17" spans="1:11" x14ac:dyDescent="0.3">
      <c r="A17" t="s">
        <v>45</v>
      </c>
      <c r="B17" t="s">
        <v>78</v>
      </c>
      <c r="C17" t="s">
        <v>79</v>
      </c>
      <c r="D17" t="str">
        <f t="shared" si="0"/>
        <v>MR. WYATT HILL</v>
      </c>
      <c r="E17" t="str">
        <f t="shared" si="1"/>
        <v>mr. wyatt hill</v>
      </c>
      <c r="F17" t="str">
        <f t="shared" si="2"/>
        <v>WYATT</v>
      </c>
      <c r="G17" t="str">
        <f t="shared" si="3"/>
        <v>Wyatt</v>
      </c>
      <c r="H17">
        <f t="shared" si="4"/>
        <v>5</v>
      </c>
      <c r="I17" t="str">
        <f t="shared" si="5"/>
        <v>W</v>
      </c>
      <c r="J17" t="str">
        <f t="shared" si="6"/>
        <v>t</v>
      </c>
      <c r="K17" t="str">
        <f t="shared" si="7"/>
        <v>yat</v>
      </c>
    </row>
    <row r="18" spans="1:11" x14ac:dyDescent="0.3">
      <c r="A18" t="s">
        <v>55</v>
      </c>
      <c r="B18" t="s">
        <v>64</v>
      </c>
      <c r="C18" t="s">
        <v>80</v>
      </c>
      <c r="D18" t="str">
        <f t="shared" si="0"/>
        <v>MRS. SHANNON WANG</v>
      </c>
      <c r="E18" t="str">
        <f t="shared" si="1"/>
        <v>mrs. shannon wang</v>
      </c>
      <c r="F18" t="str">
        <f t="shared" si="2"/>
        <v>SHANNON</v>
      </c>
      <c r="G18" t="str">
        <f t="shared" si="3"/>
        <v>Shannon</v>
      </c>
      <c r="H18">
        <f t="shared" si="4"/>
        <v>7</v>
      </c>
      <c r="I18" t="str">
        <f t="shared" si="5"/>
        <v>S</v>
      </c>
      <c r="J18" t="str">
        <f t="shared" si="6"/>
        <v>n</v>
      </c>
      <c r="K18" t="str">
        <f t="shared" si="7"/>
        <v>han</v>
      </c>
    </row>
    <row r="19" spans="1:11" x14ac:dyDescent="0.3">
      <c r="A19" t="s">
        <v>45</v>
      </c>
      <c r="B19" t="s">
        <v>81</v>
      </c>
      <c r="C19" t="s">
        <v>82</v>
      </c>
      <c r="D19" t="str">
        <f t="shared" si="0"/>
        <v>MR. CLARENCE RAI</v>
      </c>
      <c r="E19" t="str">
        <f t="shared" si="1"/>
        <v>mr. clarence rai</v>
      </c>
      <c r="F19" t="str">
        <f t="shared" si="2"/>
        <v>CLARENCE</v>
      </c>
      <c r="G19" t="str">
        <f t="shared" si="3"/>
        <v>Clarence</v>
      </c>
      <c r="H19">
        <f t="shared" si="4"/>
        <v>8</v>
      </c>
      <c r="I19" t="str">
        <f t="shared" si="5"/>
        <v>C</v>
      </c>
      <c r="J19" t="str">
        <f t="shared" si="6"/>
        <v>e</v>
      </c>
      <c r="K19" t="str">
        <f t="shared" si="7"/>
        <v>lar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D01EA-4D48-4D74-B9A3-258A2F191DA8}">
  <dimension ref="A1:G31"/>
  <sheetViews>
    <sheetView workbookViewId="0">
      <selection activeCell="F2" sqref="F2"/>
    </sheetView>
  </sheetViews>
  <sheetFormatPr defaultRowHeight="14.4" x14ac:dyDescent="0.3"/>
  <cols>
    <col min="1" max="1" width="7" bestFit="1" customWidth="1"/>
    <col min="2" max="2" width="14.44140625" bestFit="1" customWidth="1"/>
    <col min="3" max="3" width="23.6640625" bestFit="1" customWidth="1"/>
    <col min="4" max="4" width="11.77734375" bestFit="1" customWidth="1"/>
  </cols>
  <sheetData>
    <row r="1" spans="1:7" x14ac:dyDescent="0.3">
      <c r="A1" t="s">
        <v>101</v>
      </c>
      <c r="B1" t="s">
        <v>102</v>
      </c>
      <c r="C1" t="s">
        <v>103</v>
      </c>
      <c r="D1" t="s">
        <v>104</v>
      </c>
      <c r="F1" t="s">
        <v>189</v>
      </c>
      <c r="G1" t="s">
        <v>190</v>
      </c>
    </row>
    <row r="2" spans="1:7" x14ac:dyDescent="0.3">
      <c r="A2" t="s">
        <v>105</v>
      </c>
      <c r="B2" t="s">
        <v>106</v>
      </c>
      <c r="C2" t="s">
        <v>107</v>
      </c>
      <c r="D2">
        <v>141604</v>
      </c>
      <c r="F2" t="s">
        <v>105</v>
      </c>
      <c r="G2">
        <f>VLOOKUP(F2,A2:D31,4,FALSE)</f>
        <v>141604</v>
      </c>
    </row>
    <row r="3" spans="1:7" x14ac:dyDescent="0.3">
      <c r="A3" t="s">
        <v>108</v>
      </c>
      <c r="B3" t="s">
        <v>109</v>
      </c>
      <c r="C3" t="s">
        <v>110</v>
      </c>
      <c r="D3">
        <v>99975</v>
      </c>
    </row>
    <row r="4" spans="1:7" x14ac:dyDescent="0.3">
      <c r="A4" t="s">
        <v>111</v>
      </c>
      <c r="B4" t="s">
        <v>112</v>
      </c>
      <c r="C4" t="s">
        <v>113</v>
      </c>
      <c r="D4">
        <v>163099</v>
      </c>
    </row>
    <row r="5" spans="1:7" x14ac:dyDescent="0.3">
      <c r="A5" t="s">
        <v>114</v>
      </c>
      <c r="B5" t="s">
        <v>115</v>
      </c>
      <c r="C5" t="s">
        <v>116</v>
      </c>
      <c r="D5">
        <v>84913</v>
      </c>
    </row>
    <row r="6" spans="1:7" x14ac:dyDescent="0.3">
      <c r="A6" t="s">
        <v>117</v>
      </c>
      <c r="B6" t="s">
        <v>118</v>
      </c>
      <c r="C6" t="s">
        <v>119</v>
      </c>
      <c r="D6">
        <v>95409</v>
      </c>
    </row>
    <row r="7" spans="1:7" x14ac:dyDescent="0.3">
      <c r="A7" t="s">
        <v>120</v>
      </c>
      <c r="B7" t="s">
        <v>121</v>
      </c>
      <c r="C7" t="s">
        <v>122</v>
      </c>
      <c r="D7">
        <v>50994</v>
      </c>
    </row>
    <row r="8" spans="1:7" x14ac:dyDescent="0.3">
      <c r="A8" t="s">
        <v>123</v>
      </c>
      <c r="B8" t="s">
        <v>124</v>
      </c>
      <c r="C8" t="s">
        <v>125</v>
      </c>
      <c r="D8">
        <v>119746</v>
      </c>
    </row>
    <row r="9" spans="1:7" x14ac:dyDescent="0.3">
      <c r="A9" t="s">
        <v>126</v>
      </c>
      <c r="B9" t="s">
        <v>127</v>
      </c>
      <c r="C9" t="s">
        <v>128</v>
      </c>
      <c r="D9">
        <v>41336</v>
      </c>
    </row>
    <row r="10" spans="1:7" x14ac:dyDescent="0.3">
      <c r="A10" t="s">
        <v>129</v>
      </c>
      <c r="B10" t="s">
        <v>130</v>
      </c>
      <c r="C10" t="s">
        <v>125</v>
      </c>
      <c r="D10">
        <v>113527</v>
      </c>
    </row>
    <row r="11" spans="1:7" x14ac:dyDescent="0.3">
      <c r="A11" t="s">
        <v>131</v>
      </c>
      <c r="B11" t="s">
        <v>132</v>
      </c>
      <c r="C11" t="s">
        <v>119</v>
      </c>
      <c r="D11">
        <v>77203</v>
      </c>
    </row>
    <row r="12" spans="1:7" x14ac:dyDescent="0.3">
      <c r="A12" t="s">
        <v>133</v>
      </c>
      <c r="B12" t="s">
        <v>134</v>
      </c>
      <c r="C12" t="s">
        <v>107</v>
      </c>
      <c r="D12">
        <v>157333</v>
      </c>
    </row>
    <row r="13" spans="1:7" x14ac:dyDescent="0.3">
      <c r="A13" t="s">
        <v>135</v>
      </c>
      <c r="B13" t="s">
        <v>136</v>
      </c>
      <c r="C13" t="s">
        <v>137</v>
      </c>
      <c r="D13">
        <v>109851</v>
      </c>
    </row>
    <row r="14" spans="1:7" x14ac:dyDescent="0.3">
      <c r="A14" t="s">
        <v>138</v>
      </c>
      <c r="B14" t="s">
        <v>139</v>
      </c>
      <c r="C14" t="s">
        <v>125</v>
      </c>
      <c r="D14">
        <v>105086</v>
      </c>
    </row>
    <row r="15" spans="1:7" x14ac:dyDescent="0.3">
      <c r="A15" t="s">
        <v>140</v>
      </c>
      <c r="B15" t="s">
        <v>141</v>
      </c>
      <c r="C15" t="s">
        <v>107</v>
      </c>
      <c r="D15">
        <v>146742</v>
      </c>
    </row>
    <row r="16" spans="1:7" x14ac:dyDescent="0.3">
      <c r="A16" t="s">
        <v>142</v>
      </c>
      <c r="B16" t="s">
        <v>143</v>
      </c>
      <c r="C16" t="s">
        <v>119</v>
      </c>
      <c r="D16">
        <v>97078</v>
      </c>
    </row>
    <row r="17" spans="1:4" x14ac:dyDescent="0.3">
      <c r="A17" t="s">
        <v>144</v>
      </c>
      <c r="B17" t="s">
        <v>145</v>
      </c>
      <c r="C17" t="s">
        <v>146</v>
      </c>
      <c r="D17">
        <v>249270</v>
      </c>
    </row>
    <row r="18" spans="1:4" x14ac:dyDescent="0.3">
      <c r="A18" t="s">
        <v>147</v>
      </c>
      <c r="B18" t="s">
        <v>148</v>
      </c>
      <c r="C18" t="s">
        <v>149</v>
      </c>
      <c r="D18">
        <v>68250</v>
      </c>
    </row>
    <row r="19" spans="1:4" x14ac:dyDescent="0.3">
      <c r="A19" t="s">
        <v>150</v>
      </c>
      <c r="B19" t="s">
        <v>151</v>
      </c>
      <c r="C19" t="s">
        <v>152</v>
      </c>
      <c r="D19">
        <v>57480</v>
      </c>
    </row>
    <row r="20" spans="1:4" x14ac:dyDescent="0.3">
      <c r="A20" t="s">
        <v>153</v>
      </c>
      <c r="B20" t="s">
        <v>154</v>
      </c>
      <c r="C20" t="s">
        <v>155</v>
      </c>
      <c r="D20">
        <v>91200</v>
      </c>
    </row>
    <row r="21" spans="1:4" x14ac:dyDescent="0.3">
      <c r="A21" t="s">
        <v>156</v>
      </c>
      <c r="B21" t="s">
        <v>157</v>
      </c>
      <c r="C21" t="s">
        <v>158</v>
      </c>
      <c r="D21">
        <v>78850</v>
      </c>
    </row>
    <row r="22" spans="1:4" x14ac:dyDescent="0.3">
      <c r="A22" t="s">
        <v>159</v>
      </c>
      <c r="B22" t="s">
        <v>160</v>
      </c>
      <c r="C22" t="s">
        <v>161</v>
      </c>
      <c r="D22">
        <v>128500</v>
      </c>
    </row>
    <row r="23" spans="1:4" x14ac:dyDescent="0.3">
      <c r="A23" t="s">
        <v>162</v>
      </c>
      <c r="B23" t="s">
        <v>163</v>
      </c>
      <c r="C23" t="s">
        <v>164</v>
      </c>
      <c r="D23">
        <v>62300</v>
      </c>
    </row>
    <row r="24" spans="1:4" x14ac:dyDescent="0.3">
      <c r="A24" t="s">
        <v>165</v>
      </c>
      <c r="B24" t="s">
        <v>166</v>
      </c>
      <c r="C24" t="s">
        <v>167</v>
      </c>
      <c r="D24">
        <v>85600</v>
      </c>
    </row>
    <row r="25" spans="1:4" x14ac:dyDescent="0.3">
      <c r="A25" t="s">
        <v>168</v>
      </c>
      <c r="B25" t="s">
        <v>169</v>
      </c>
      <c r="C25" t="s">
        <v>170</v>
      </c>
      <c r="D25">
        <v>118900</v>
      </c>
    </row>
    <row r="26" spans="1:4" x14ac:dyDescent="0.3">
      <c r="A26" t="s">
        <v>171</v>
      </c>
      <c r="B26" t="s">
        <v>172</v>
      </c>
      <c r="C26" t="s">
        <v>173</v>
      </c>
      <c r="D26">
        <v>55200</v>
      </c>
    </row>
    <row r="27" spans="1:4" x14ac:dyDescent="0.3">
      <c r="A27" t="s">
        <v>174</v>
      </c>
      <c r="B27" t="s">
        <v>175</v>
      </c>
      <c r="C27" t="s">
        <v>176</v>
      </c>
      <c r="D27">
        <v>135400</v>
      </c>
    </row>
    <row r="28" spans="1:4" x14ac:dyDescent="0.3">
      <c r="A28" t="s">
        <v>177</v>
      </c>
      <c r="B28" t="s">
        <v>178</v>
      </c>
      <c r="C28" t="s">
        <v>179</v>
      </c>
      <c r="D28">
        <v>109800</v>
      </c>
    </row>
    <row r="29" spans="1:4" x14ac:dyDescent="0.3">
      <c r="A29" t="s">
        <v>180</v>
      </c>
      <c r="B29" t="s">
        <v>181</v>
      </c>
      <c r="C29" t="s">
        <v>182</v>
      </c>
      <c r="D29">
        <v>59400</v>
      </c>
    </row>
    <row r="30" spans="1:4" x14ac:dyDescent="0.3">
      <c r="A30" t="s">
        <v>183</v>
      </c>
      <c r="B30" t="s">
        <v>184</v>
      </c>
      <c r="C30" t="s">
        <v>185</v>
      </c>
      <c r="D30">
        <v>121750</v>
      </c>
    </row>
    <row r="31" spans="1:4" x14ac:dyDescent="0.3">
      <c r="A31" t="s">
        <v>186</v>
      </c>
      <c r="B31" t="s">
        <v>187</v>
      </c>
      <c r="C31" t="s">
        <v>188</v>
      </c>
      <c r="D31">
        <v>68900</v>
      </c>
    </row>
  </sheetData>
  <phoneticPr fontId="5" type="noConversion"/>
  <dataValidations count="1">
    <dataValidation type="list" allowBlank="1" showInputMessage="1" showErrorMessage="1" sqref="F2" xr:uid="{9FA0EF7B-4BEE-45D0-BABF-9D4D90D4FA7C}">
      <formula1>$A$2:$A$32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9AAE6-D266-4247-A368-A211E8805AA6}">
  <dimension ref="A1:O5"/>
  <sheetViews>
    <sheetView zoomScale="130" zoomScaleNormal="130" workbookViewId="0">
      <selection activeCell="P7" sqref="P7"/>
    </sheetView>
  </sheetViews>
  <sheetFormatPr defaultRowHeight="14.4" x14ac:dyDescent="0.3"/>
  <sheetData>
    <row r="1" spans="1:15" x14ac:dyDescent="0.3">
      <c r="A1" s="12" t="s">
        <v>101</v>
      </c>
      <c r="B1" s="12" t="s">
        <v>105</v>
      </c>
      <c r="C1" s="12" t="s">
        <v>108</v>
      </c>
      <c r="D1" s="12" t="s">
        <v>111</v>
      </c>
      <c r="E1" s="12" t="s">
        <v>114</v>
      </c>
      <c r="F1" s="12" t="s">
        <v>117</v>
      </c>
      <c r="G1" s="12" t="s">
        <v>120</v>
      </c>
      <c r="H1" s="12" t="s">
        <v>123</v>
      </c>
      <c r="I1" s="12" t="s">
        <v>126</v>
      </c>
      <c r="J1" s="12" t="s">
        <v>129</v>
      </c>
      <c r="K1" s="12" t="s">
        <v>131</v>
      </c>
    </row>
    <row r="2" spans="1:15" ht="28.8" x14ac:dyDescent="0.3">
      <c r="A2" s="13" t="s">
        <v>102</v>
      </c>
      <c r="B2" s="13" t="s">
        <v>106</v>
      </c>
      <c r="C2" s="13" t="s">
        <v>109</v>
      </c>
      <c r="D2" s="13" t="s">
        <v>112</v>
      </c>
      <c r="E2" s="13" t="s">
        <v>115</v>
      </c>
      <c r="F2" s="13" t="s">
        <v>118</v>
      </c>
      <c r="G2" s="13" t="s">
        <v>121</v>
      </c>
      <c r="H2" s="13" t="s">
        <v>124</v>
      </c>
      <c r="I2" s="13" t="s">
        <v>127</v>
      </c>
      <c r="J2" s="13" t="s">
        <v>130</v>
      </c>
      <c r="K2" s="13" t="s">
        <v>132</v>
      </c>
    </row>
    <row r="3" spans="1:15" ht="43.2" x14ac:dyDescent="0.3">
      <c r="A3" s="13" t="s">
        <v>103</v>
      </c>
      <c r="B3" s="13" t="s">
        <v>107</v>
      </c>
      <c r="C3" s="13" t="s">
        <v>110</v>
      </c>
      <c r="D3" s="13" t="s">
        <v>113</v>
      </c>
      <c r="E3" s="13" t="s">
        <v>116</v>
      </c>
      <c r="F3" s="13" t="s">
        <v>119</v>
      </c>
      <c r="G3" s="13" t="s">
        <v>122</v>
      </c>
      <c r="H3" s="13" t="s">
        <v>125</v>
      </c>
      <c r="I3" s="13" t="s">
        <v>128</v>
      </c>
      <c r="J3" s="13" t="s">
        <v>125</v>
      </c>
      <c r="K3" s="13" t="s">
        <v>119</v>
      </c>
    </row>
    <row r="4" spans="1:15" ht="28.8" x14ac:dyDescent="0.3">
      <c r="A4" s="13" t="s">
        <v>104</v>
      </c>
      <c r="B4" s="13">
        <v>141604</v>
      </c>
      <c r="C4" s="13">
        <v>99975</v>
      </c>
      <c r="D4" s="13">
        <v>163099</v>
      </c>
      <c r="E4" s="13">
        <v>84913</v>
      </c>
      <c r="F4" s="13">
        <v>95409</v>
      </c>
      <c r="G4" s="13">
        <v>50994</v>
      </c>
      <c r="H4" s="13">
        <v>119746</v>
      </c>
      <c r="I4" s="13">
        <v>41336</v>
      </c>
      <c r="J4" s="13">
        <v>113527</v>
      </c>
      <c r="K4" s="13">
        <v>77203</v>
      </c>
      <c r="N4" s="14" t="s">
        <v>101</v>
      </c>
      <c r="O4" s="14" t="s">
        <v>191</v>
      </c>
    </row>
    <row r="5" spans="1:15" x14ac:dyDescent="0.3">
      <c r="N5" s="12" t="s">
        <v>108</v>
      </c>
      <c r="O5" s="14">
        <f>HLOOKUP(N5,A1:K4,4,FALSE)</f>
        <v>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DATA VALIDATION</vt:lpstr>
      <vt:lpstr>Sheet2</vt:lpstr>
      <vt:lpstr>VLOOKUP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mishra</dc:creator>
  <cp:lastModifiedBy>yash mishra</cp:lastModifiedBy>
  <dcterms:created xsi:type="dcterms:W3CDTF">2026-06-06T10:43:49Z</dcterms:created>
  <dcterms:modified xsi:type="dcterms:W3CDTF">2026-06-09T10:56:09Z</dcterms:modified>
</cp:coreProperties>
</file>