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DD0D255D-065D-4E14-86C8-DB8CE91C0A11}" xr6:coauthVersionLast="47" xr6:coauthVersionMax="47" xr10:uidLastSave="{00000000-0000-0000-0000-000000000000}"/>
  <bookViews>
    <workbookView xWindow="-108" yWindow="-108" windowWidth="23256" windowHeight="13176" activeTab="1" xr2:uid="{36AABD16-FB55-4B62-8B5C-5D17D78421D7}"/>
  </bookViews>
  <sheets>
    <sheet name="Sheet1" sheetId="1" r:id="rId1"/>
    <sheet name="Conditional Formating" sheetId="8" r:id="rId2"/>
    <sheet name="DATA VALIDATION" sheetId="3" r:id="rId3"/>
    <sheet name="Sheet2" sheetId="2" r:id="rId4"/>
    <sheet name="VLOOKUP" sheetId="4" r:id="rId5"/>
    <sheet name="XLOOKUP" sheetId="6" r:id="rId6"/>
    <sheet name="INDEXING+MATCHING" sheetId="7" r:id="rId7"/>
    <sheet name="HLOOKUP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7" l="1"/>
  <c r="K4" i="7"/>
  <c r="I4" i="7"/>
  <c r="G4" i="7"/>
  <c r="E6" i="6" a="1"/>
  <c r="E6" i="6" s="1"/>
  <c r="O5" i="5"/>
  <c r="G2" i="4"/>
  <c r="O3" i="2"/>
  <c r="N2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G3" i="2"/>
  <c r="G4" i="2"/>
  <c r="G5" i="2"/>
  <c r="G6" i="2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G16" i="2"/>
  <c r="H16" i="2" s="1"/>
  <c r="G17" i="2"/>
  <c r="G18" i="2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H7" i="2"/>
  <c r="H19" i="2"/>
  <c r="H2" i="2"/>
  <c r="H3" i="2"/>
  <c r="H4" i="2"/>
  <c r="H5" i="2"/>
  <c r="H6" i="2"/>
  <c r="H13" i="2"/>
  <c r="H15" i="2"/>
  <c r="H17" i="2"/>
  <c r="H18" i="2"/>
  <c r="G2" i="2"/>
  <c r="I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O14" i="1"/>
  <c r="M7" i="1"/>
  <c r="L7" i="1"/>
  <c r="J8" i="1"/>
  <c r="K7" i="1"/>
  <c r="J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<sst xmlns="http://schemas.openxmlformats.org/spreadsheetml/2006/main" count="573" uniqueCount="196">
  <si>
    <t>Janauary Expensive</t>
  </si>
  <si>
    <t>Date</t>
  </si>
  <si>
    <t>Category</t>
  </si>
  <si>
    <t>Sub-Category</t>
  </si>
  <si>
    <t>Price</t>
  </si>
  <si>
    <t>Payment Mode</t>
  </si>
  <si>
    <t>Food</t>
  </si>
  <si>
    <t>Grocery</t>
  </si>
  <si>
    <t>Skincare</t>
  </si>
  <si>
    <t>Studies</t>
  </si>
  <si>
    <t>Dairy</t>
  </si>
  <si>
    <t>Bills</t>
  </si>
  <si>
    <t>Games</t>
  </si>
  <si>
    <t>Ice Cream</t>
  </si>
  <si>
    <t>Rice and Dal</t>
  </si>
  <si>
    <t>Facewash</t>
  </si>
  <si>
    <t>Restaurant</t>
  </si>
  <si>
    <t>Tution Fees</t>
  </si>
  <si>
    <t>soap</t>
  </si>
  <si>
    <t>Milk</t>
  </si>
  <si>
    <t>Electricity</t>
  </si>
  <si>
    <t xml:space="preserve">Fast Food </t>
  </si>
  <si>
    <t>Fruits and veegies</t>
  </si>
  <si>
    <t>Cylinder</t>
  </si>
  <si>
    <t>Books</t>
  </si>
  <si>
    <t>Cricke Bat</t>
  </si>
  <si>
    <t>Bread And Jam</t>
  </si>
  <si>
    <t>Deserts</t>
  </si>
  <si>
    <t>CASH</t>
  </si>
  <si>
    <t>UPI</t>
  </si>
  <si>
    <t>CARD</t>
  </si>
  <si>
    <t>Column1</t>
  </si>
  <si>
    <t>Addition</t>
  </si>
  <si>
    <t>Substraction</t>
  </si>
  <si>
    <t>Multiplication</t>
  </si>
  <si>
    <t>Division</t>
  </si>
  <si>
    <t>Cinema Hall</t>
  </si>
  <si>
    <t>Customer's Name</t>
  </si>
  <si>
    <t>Seats</t>
  </si>
  <si>
    <t>Seats Price</t>
  </si>
  <si>
    <t>Total Price</t>
  </si>
  <si>
    <t>YASH</t>
  </si>
  <si>
    <t>Prefix</t>
  </si>
  <si>
    <t>FirstName</t>
  </si>
  <si>
    <t>LastName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</si>
  <si>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</si>
  <si>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</si>
  <si>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</si>
  <si>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</si>
  <si>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</si>
  <si>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</si>
  <si>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</si>
  <si>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</si>
  <si>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</si>
  <si>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</si>
  <si>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</si>
  <si>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</si>
  <si>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</si>
  <si>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</si>
  <si>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</si>
  <si>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</si>
  <si>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</si>
  <si>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</si>
  <si>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</si>
  <si>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</si>
  <si>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</si>
  <si>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</si>
  <si>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</si>
  <si>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</si>
  <si>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</si>
  <si>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</si>
  <si>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</si>
  <si>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</si>
  <si>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</si>
  <si>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</si>
  <si>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</si>
  <si>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</si>
  <si>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</si>
  <si>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</si>
  <si>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</si>
  <si>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</si>
  <si>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</si>
  <si>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</si>
  <si>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</si>
  <si>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</si>
  <si>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</si>
  <si>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</si>
  <si>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</si>
  <si>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</si>
  <si>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</si>
  <si>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</si>
  <si>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</si>
  <si>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</si>
  <si>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</si>
  <si>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</si>
  <si>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Date2</t>
  </si>
  <si>
    <t>sub-category2</t>
  </si>
  <si>
    <t xml:space="preserve">zomato </t>
  </si>
  <si>
    <t>Price2</t>
  </si>
  <si>
    <t>Payment mode2</t>
  </si>
  <si>
    <t>Card</t>
  </si>
  <si>
    <t>EEID</t>
  </si>
  <si>
    <t>Full Name</t>
  </si>
  <si>
    <t>Job Title</t>
  </si>
  <si>
    <t>Annual Salary</t>
  </si>
  <si>
    <t>E02387</t>
  </si>
  <si>
    <t>Emily Davis</t>
  </si>
  <si>
    <t>Sr. Manager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</si>
  <si>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</si>
  <si>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</si>
  <si>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</si>
  <si>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</si>
  <si>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</si>
  <si>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</si>
  <si>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</si>
  <si>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</si>
  <si>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</si>
  <si>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E01639</t>
  </si>
  <si>
    <t>Austin Vo</t>
  </si>
  <si>
    <t>Sr. Analyst</t>
  </si>
  <si>
    <t>E00644</t>
  </si>
  <si>
    <t>Joshua Gupta</t>
  </si>
  <si>
    <t>Account Representative</t>
  </si>
  <si>
    <t>E01550</t>
  </si>
  <si>
    <t>Ruby Barnes</t>
  </si>
  <si>
    <t>Manager</t>
  </si>
  <si>
    <t>E04332</t>
  </si>
  <si>
    <t>Luke Martin</t>
  </si>
  <si>
    <t>Analyst</t>
  </si>
  <si>
    <t>E04533</t>
  </si>
  <si>
    <t>Easton Bailey</t>
  </si>
  <si>
    <t>E03838</t>
  </si>
  <si>
    <t>Madeline Walker</t>
  </si>
  <si>
    <t>E00591</t>
  </si>
  <si>
    <t>Savannah Ali</t>
  </si>
  <si>
    <t>E03344</t>
  </si>
  <si>
    <t>Camila Rogers</t>
  </si>
  <si>
    <t>Controls Engineer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</si>
  <si>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</si>
  <si>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</si>
  <si>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</si>
  <si>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</si>
  <si>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</si>
  <si>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</si>
  <si>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</si>
  <si>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</si>
  <si>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</si>
  <si>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E01124</t>
  </si>
  <si>
    <t>Noah Wilson</t>
  </si>
  <si>
    <t>Data Analyst</t>
  </si>
  <si>
    <t>E01873</t>
  </si>
  <si>
    <t>Emma Thomas</t>
  </si>
  <si>
    <t>HR Specialist</t>
  </si>
  <si>
    <t>E02761</t>
  </si>
  <si>
    <t>William Brown</t>
  </si>
  <si>
    <t>Software Engineer</t>
  </si>
  <si>
    <t>E03982</t>
  </si>
  <si>
    <t>Olivia Johnson</t>
  </si>
  <si>
    <t>Business Analyst</t>
  </si>
  <si>
    <t>E04615</t>
  </si>
  <si>
    <t>James Lee</t>
  </si>
  <si>
    <t>Project Manager</t>
  </si>
  <si>
    <t>E05234</t>
  </si>
  <si>
    <t>Ava Clark</t>
  </si>
  <si>
    <t>Marketing Executive</t>
  </si>
  <si>
    <t>E06127</t>
  </si>
  <si>
    <t>Benjamin Hall</t>
  </si>
  <si>
    <t>Financial Analyst</t>
  </si>
  <si>
    <t>E07215</t>
  </si>
  <si>
    <t>Sophia Adams</t>
  </si>
  <si>
    <t>Operations Manager</t>
  </si>
  <si>
    <t>E08346</t>
  </si>
  <si>
    <t>Daniel Scott</t>
  </si>
  <si>
    <t>IT Support Engineer</t>
  </si>
  <si>
    <t>E09457</t>
  </si>
  <si>
    <t>Mia White</t>
  </si>
  <si>
    <t>Product Manager</t>
  </si>
  <si>
    <t>E10568</t>
  </si>
  <si>
    <t>Lucas Green</t>
  </si>
  <si>
    <t>Senior Developer</t>
  </si>
  <si>
    <t>E11679</t>
  </si>
  <si>
    <t>Charlotte King</t>
  </si>
  <si>
    <t>Recruitment Specialist</t>
  </si>
  <si>
    <t>E12780</t>
  </si>
  <si>
    <t>Henry Baker</t>
  </si>
  <si>
    <t>Sales Manager</t>
  </si>
  <si>
    <t>E13891</t>
  </si>
  <si>
    <t>Amelia Carter</t>
  </si>
  <si>
    <t>Quality Analyst</t>
  </si>
  <si>
    <t>emp id</t>
  </si>
  <si>
    <t>salary</t>
  </si>
  <si>
    <t>SALARY</t>
  </si>
  <si>
    <t>Index</t>
  </si>
  <si>
    <t>Matching</t>
  </si>
  <si>
    <t>index+matching</t>
  </si>
  <si>
    <t>indexing+matching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</si>
</sst>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" fontId="0" fillId="0" borderId="0" xfId="0" applyNumberFormat="1"/>
    <xf numFmtId="0" fontId="0" fillId="3" borderId="0" xfId="0" applyFill="1" applyAlignment="1">
      <alignment horizontal="left" indent="7"/>
    </xf>
    <xf numFmtId="0" fontId="0" fillId="4" borderId="0" xfId="0" applyFill="1" applyAlignment="1">
      <alignment horizontal="left" indent="7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575D-B9BA-4C9C-BF68-EF90BCF32B66}" name="Table1" displayName="Table1" ref="B2:G18" totalsRowShown="0" headerRowDxfId="25">
  <autoFilter ref="B2:G18" xr:uid="{6741575D-B9BA-4C9C-BF68-EF90BCF32B66}"/>
  <sortState xmlns:xlrd2="http://schemas.microsoft.com/office/spreadsheetml/2017/richdata2" ref="B3:G18">
    <sortCondition ref="G3:G18"/>
  </sortState>
  <tableColumns count="6">
    <tableColumn id="1" xr3:uid="{3A09D6FC-C4F6-4E79-B95D-339260260F8D}" name="Date" dataDxfId="24"/>
    <tableColumn id="2" xr3:uid="{3366B324-AECE-449B-8087-184B669CC456}" name="Category" dataDxfId="23"/>
    <tableColumn id="3" xr3:uid="{D3B7CE3B-A605-4012-B519-240A6F33AA63}" name="Sub-Category"/>
    <tableColumn id="4" xr3:uid="{AD671E78-1343-4A10-BCF8-447D4E21159A}" name="Price" dataDxfId="22"/>
    <tableColumn id="5" xr3:uid="{1831F971-D364-40E1-AF66-ED254589B6D3}" name="Payment Mode" dataDxfId="21"/>
    <tableColumn id="6" xr3:uid="{D3D568AD-C237-430D-961D-6E66040818CC}" name="Column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350279-FFA6-4E3F-83AE-5CC79A18BE81}" name="Table14" displayName="Table14" ref="B1:G17" totalsRowShown="0" headerRowDxfId="15">
  <autoFilter ref="B1:G17" xr:uid="{EA350279-FFA6-4E3F-83AE-5CC79A18BE81}"/>
  <sortState xmlns:xlrd2="http://schemas.microsoft.com/office/spreadsheetml/2017/richdata2" ref="B2:G17">
    <sortCondition ref="G3:G18"/>
  </sortState>
  <tableColumns count="6">
    <tableColumn id="1" xr3:uid="{47D7F1D7-65CD-4EFE-803F-0CF8E888529A}" name="Date" dataDxfId="14"/>
    <tableColumn id="2" xr3:uid="{9747EF65-A771-46F2-B698-57FA39FC0142}" name="Category" dataDxfId="13"/>
    <tableColumn id="3" xr3:uid="{85508728-77C7-4E2C-9C4F-4BB0C2FC30CF}" name="Sub-Category"/>
    <tableColumn id="4" xr3:uid="{562D17C2-BAB4-44F5-8C54-96CF43071D6C}" name="Price" dataDxfId="12"/>
    <tableColumn id="5" xr3:uid="{425AB7FA-3D63-4268-9F1C-C9E6895D722C}" name="Payment Mode" dataDxfId="11"/>
    <tableColumn id="6" xr3:uid="{52B09027-8FA2-4818-9B1E-1774BD195794}" name="Column1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60226-6899-4446-8A40-71790A29B7E1}" name="Table13" displayName="Table13" ref="B1:K17" totalsRowShown="0" headerRowDxfId="20">
  <autoFilter ref="B1:K17" xr:uid="{45160226-6899-4446-8A40-71790A29B7E1}"/>
  <sortState xmlns:xlrd2="http://schemas.microsoft.com/office/spreadsheetml/2017/richdata2" ref="B2:G17">
    <sortCondition ref="G3:G18"/>
  </sortState>
  <tableColumns count="10">
    <tableColumn id="1" xr3:uid="{2FADD061-1EBB-43C8-9B04-9790DD85C0FE}" name="Date" dataDxfId="19"/>
    <tableColumn id="2" xr3:uid="{74FB932E-8316-47A4-AA70-C8F96BD39DF0}" name="Category" dataDxfId="18"/>
    <tableColumn id="3" xr3:uid="{27E47DE0-5CFE-4C91-931B-2BCDECD3FF33}" name="Sub-Category"/>
    <tableColumn id="4" xr3:uid="{5D6A0EA3-CE4B-49C8-8E73-D89470B1635A}" name="Price" dataDxfId="17"/>
    <tableColumn id="5" xr3:uid="{090DFDA1-04B0-4409-90BC-386F3230118D}" name="Payment Mode" dataDxfId="16"/>
    <tableColumn id="6" xr3:uid="{E5285D34-609E-4CB3-9192-F15BBF147EE9}" name="Column1"/>
    <tableColumn id="7" xr3:uid="{643F5032-2830-4120-8703-10DD3D6975DB}" name="Date2"/>
    <tableColumn id="8" xr3:uid="{54A5BDE9-8A61-42E0-AEED-DC6342166315}" name="sub-category2"/>
    <tableColumn id="9" xr3:uid="{71096357-D5C1-4F23-BD20-A9F662586EE0}" name="Price2"/>
    <tableColumn id="10" xr3:uid="{6DBBE883-8110-41D0-A15F-9BAE1E112936}" name="Payment mode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DEA5-1AE9-49B6-B891-2CF2B17D805C}">
  <dimension ref="A1:R32"/>
  <sheetViews>
    <sheetView workbookViewId="0">
      <selection activeCell="A2" sqref="A2:G18"/>
    </sheetView>
  </sheetViews>
  <sheetFormatPr defaultRowHeight="14.4" x14ac:dyDescent="0.3"/>
  <cols>
    <col min="1" max="1" width="33.44140625" bestFit="1" customWidth="1"/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  <col min="8" max="8" width="34.5546875" bestFit="1" customWidth="1"/>
    <col min="9" max="9" width="10.33203125" bestFit="1" customWidth="1"/>
    <col min="10" max="10" width="11.109375" bestFit="1" customWidth="1"/>
    <col min="11" max="11" width="15.44140625" bestFit="1" customWidth="1"/>
    <col min="12" max="12" width="18" bestFit="1" customWidth="1"/>
    <col min="14" max="14" width="10" bestFit="1" customWidth="1"/>
  </cols>
  <sheetData>
    <row r="1" spans="1:18" ht="59.4" customHeight="1" x14ac:dyDescent="0.5500000000000000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31</v>
      </c>
    </row>
    <row r="3" spans="1:18" x14ac:dyDescent="0.3">
      <c r="B3" s="2">
        <v>46023</v>
      </c>
      <c r="C3" s="4" t="s">
        <v>6</v>
      </c>
      <c r="D3" t="s">
        <v>13</v>
      </c>
      <c r="E3" s="4">
        <v>30</v>
      </c>
      <c r="F3" s="8" t="s">
        <v>28</v>
      </c>
      <c r="G3" s="7">
        <v>46023</v>
      </c>
    </row>
    <row r="4" spans="1:18" x14ac:dyDescent="0.3">
      <c r="B4" s="2">
        <v>46024</v>
      </c>
      <c r="C4" s="4" t="s">
        <v>7</v>
      </c>
      <c r="D4" t="s">
        <v>14</v>
      </c>
      <c r="E4" s="4">
        <v>30</v>
      </c>
      <c r="F4" s="9" t="s">
        <v>29</v>
      </c>
      <c r="G4" s="7">
        <v>46024</v>
      </c>
      <c r="J4" t="s">
        <v>32</v>
      </c>
      <c r="K4" t="s">
        <v>33</v>
      </c>
      <c r="L4" t="s">
        <v>34</v>
      </c>
      <c r="M4" t="s">
        <v>35</v>
      </c>
    </row>
    <row r="5" spans="1:18" x14ac:dyDescent="0.3">
      <c r="B5" s="2">
        <v>46025</v>
      </c>
      <c r="C5" s="4" t="s">
        <v>8</v>
      </c>
      <c r="D5" t="s">
        <v>15</v>
      </c>
      <c r="E5" s="4">
        <v>200</v>
      </c>
      <c r="F5" s="9" t="s">
        <v>29</v>
      </c>
      <c r="G5" s="7">
        <v>46025</v>
      </c>
      <c r="J5">
        <v>150</v>
      </c>
      <c r="K5">
        <v>200</v>
      </c>
      <c r="L5">
        <v>20</v>
      </c>
      <c r="M5">
        <v>12</v>
      </c>
    </row>
    <row r="6" spans="1:18" x14ac:dyDescent="0.3">
      <c r="B6" s="2">
        <v>46026</v>
      </c>
      <c r="C6" s="4" t="s">
        <v>6</v>
      </c>
      <c r="D6" t="s">
        <v>16</v>
      </c>
      <c r="E6" s="4">
        <v>900</v>
      </c>
      <c r="F6" s="6" t="s">
        <v>30</v>
      </c>
      <c r="G6" s="7">
        <v>46026</v>
      </c>
      <c r="J6">
        <v>200</v>
      </c>
      <c r="K6">
        <v>150</v>
      </c>
      <c r="L6">
        <v>15</v>
      </c>
      <c r="M6">
        <v>3</v>
      </c>
    </row>
    <row r="7" spans="1:18" x14ac:dyDescent="0.3">
      <c r="B7" s="2">
        <v>46027</v>
      </c>
      <c r="C7" s="4" t="s">
        <v>9</v>
      </c>
      <c r="D7" t="s">
        <v>17</v>
      </c>
      <c r="E7" s="4">
        <v>1500</v>
      </c>
      <c r="F7" s="9" t="s">
        <v>29</v>
      </c>
      <c r="G7" s="7">
        <v>46027</v>
      </c>
      <c r="J7">
        <f>J5+J6</f>
        <v>350</v>
      </c>
      <c r="K7">
        <f>K5-K6</f>
        <v>50</v>
      </c>
      <c r="L7">
        <f>L5*L6</f>
        <v>300</v>
      </c>
      <c r="M7">
        <f>M5/M6</f>
        <v>4</v>
      </c>
    </row>
    <row r="8" spans="1:18" x14ac:dyDescent="0.3">
      <c r="B8" s="2">
        <v>46028</v>
      </c>
      <c r="C8" s="4" t="s">
        <v>7</v>
      </c>
      <c r="D8" t="s">
        <v>18</v>
      </c>
      <c r="E8" s="4">
        <v>15</v>
      </c>
      <c r="F8" s="8" t="s">
        <v>28</v>
      </c>
      <c r="G8" s="7">
        <v>46028</v>
      </c>
      <c r="I8" s="2"/>
      <c r="J8">
        <f>SUM(J5,J6)</f>
        <v>350</v>
      </c>
    </row>
    <row r="9" spans="1:18" x14ac:dyDescent="0.3">
      <c r="B9" s="2">
        <v>46029</v>
      </c>
      <c r="C9" s="4" t="s">
        <v>10</v>
      </c>
      <c r="D9" t="s">
        <v>19</v>
      </c>
      <c r="E9" s="4">
        <v>60</v>
      </c>
      <c r="F9" s="8" t="s">
        <v>28</v>
      </c>
      <c r="G9" s="7">
        <v>46029</v>
      </c>
      <c r="I9" s="2"/>
      <c r="J9" s="4"/>
      <c r="L9" s="4"/>
    </row>
    <row r="10" spans="1:18" x14ac:dyDescent="0.3">
      <c r="B10" s="2">
        <v>46030</v>
      </c>
      <c r="C10" s="4" t="s">
        <v>11</v>
      </c>
      <c r="D10" t="s">
        <v>20</v>
      </c>
      <c r="E10" s="4">
        <v>2000</v>
      </c>
      <c r="F10" s="6" t="s">
        <v>30</v>
      </c>
      <c r="G10" s="7">
        <v>46030</v>
      </c>
      <c r="I10" s="2"/>
      <c r="J10" s="4"/>
      <c r="L10" s="4"/>
    </row>
    <row r="11" spans="1:18" x14ac:dyDescent="0.3">
      <c r="B11" s="2">
        <v>46031</v>
      </c>
      <c r="C11" s="4" t="s">
        <v>6</v>
      </c>
      <c r="D11" t="s">
        <v>21</v>
      </c>
      <c r="E11" s="4">
        <v>150</v>
      </c>
      <c r="F11" s="9" t="s">
        <v>29</v>
      </c>
      <c r="G11" s="7">
        <v>46031</v>
      </c>
    </row>
    <row r="12" spans="1:18" ht="23.4" x14ac:dyDescent="0.45">
      <c r="B12" s="2">
        <v>46032</v>
      </c>
      <c r="C12" s="4" t="s">
        <v>7</v>
      </c>
      <c r="D12" t="s">
        <v>22</v>
      </c>
      <c r="E12" s="4">
        <v>300</v>
      </c>
      <c r="F12" s="8" t="s">
        <v>28</v>
      </c>
      <c r="G12" s="7">
        <v>46032</v>
      </c>
      <c r="L12" s="10" t="s">
        <v>36</v>
      </c>
    </row>
    <row r="13" spans="1:18" x14ac:dyDescent="0.3">
      <c r="B13" s="2">
        <v>46033</v>
      </c>
      <c r="C13" s="4" t="s">
        <v>11</v>
      </c>
      <c r="D13" t="s">
        <v>23</v>
      </c>
      <c r="E13" s="4">
        <v>950</v>
      </c>
      <c r="F13" s="6" t="s">
        <v>30</v>
      </c>
      <c r="G13" s="7">
        <v>46033</v>
      </c>
      <c r="K13" t="s">
        <v>37</v>
      </c>
      <c r="L13" s="5" t="s">
        <v>6</v>
      </c>
      <c r="M13" s="3" t="s">
        <v>38</v>
      </c>
      <c r="N13" t="s">
        <v>39</v>
      </c>
      <c r="O13" t="s">
        <v>40</v>
      </c>
    </row>
    <row r="14" spans="1:18" x14ac:dyDescent="0.3">
      <c r="B14" s="2">
        <v>46034</v>
      </c>
      <c r="C14" s="4" t="s">
        <v>9</v>
      </c>
      <c r="D14" t="s">
        <v>24</v>
      </c>
      <c r="E14" s="4">
        <v>1100</v>
      </c>
      <c r="F14" s="9" t="s">
        <v>29</v>
      </c>
      <c r="G14" s="7">
        <v>46034</v>
      </c>
      <c r="K14" t="s">
        <v>41</v>
      </c>
      <c r="L14">
        <v>250</v>
      </c>
      <c r="M14">
        <v>3</v>
      </c>
      <c r="N14">
        <v>350</v>
      </c>
      <c r="O14">
        <f>((N14*M14)+L14)</f>
        <v>1300</v>
      </c>
    </row>
    <row r="15" spans="1:18" x14ac:dyDescent="0.3">
      <c r="B15" s="2">
        <v>46035</v>
      </c>
      <c r="C15" s="4" t="s">
        <v>12</v>
      </c>
      <c r="D15" t="s">
        <v>25</v>
      </c>
      <c r="E15" s="4">
        <v>1000</v>
      </c>
      <c r="F15" s="9" t="s">
        <v>29</v>
      </c>
      <c r="G15" s="7">
        <v>46035</v>
      </c>
    </row>
    <row r="16" spans="1:18" x14ac:dyDescent="0.3">
      <c r="B16" s="2">
        <v>46036</v>
      </c>
      <c r="C16" s="4" t="s">
        <v>7</v>
      </c>
      <c r="D16" t="s">
        <v>26</v>
      </c>
      <c r="E16" s="4">
        <v>60</v>
      </c>
      <c r="F16" s="9" t="s">
        <v>29</v>
      </c>
      <c r="G16" s="7">
        <v>46036</v>
      </c>
    </row>
    <row r="17" spans="2:7" x14ac:dyDescent="0.3">
      <c r="B17" s="2">
        <v>46037</v>
      </c>
      <c r="C17" s="4" t="s">
        <v>6</v>
      </c>
      <c r="D17" t="s">
        <v>27</v>
      </c>
      <c r="E17" s="4">
        <v>200</v>
      </c>
      <c r="F17" s="8" t="s">
        <v>28</v>
      </c>
      <c r="G17" s="7">
        <v>46037</v>
      </c>
    </row>
    <row r="18" spans="2:7" x14ac:dyDescent="0.3">
      <c r="B18" s="2"/>
      <c r="C18" s="4"/>
      <c r="E18" s="4"/>
      <c r="F18" s="6"/>
    </row>
    <row r="19" spans="2:7" x14ac:dyDescent="0.3">
      <c r="B19" s="2"/>
      <c r="C19" s="4"/>
      <c r="E19" s="4"/>
      <c r="F19" s="6"/>
    </row>
    <row r="20" spans="2:7" x14ac:dyDescent="0.3">
      <c r="B20" s="2"/>
      <c r="C20" s="4"/>
      <c r="E20" s="4"/>
      <c r="F20" s="6"/>
    </row>
    <row r="21" spans="2:7" x14ac:dyDescent="0.3">
      <c r="B21" s="2"/>
      <c r="C21" s="4"/>
      <c r="E21" s="4"/>
      <c r="F21" s="6"/>
    </row>
    <row r="25" spans="2:7" x14ac:dyDescent="0.3">
      <c r="B25" s="2"/>
      <c r="C25" s="4"/>
      <c r="E25" s="4"/>
      <c r="F25" s="6"/>
    </row>
    <row r="26" spans="2:7" x14ac:dyDescent="0.3">
      <c r="B26" s="2"/>
      <c r="C26" s="4"/>
      <c r="E26" s="4"/>
      <c r="F26" s="6"/>
    </row>
    <row r="27" spans="2:7" x14ac:dyDescent="0.3">
      <c r="B27" s="2"/>
      <c r="C27" s="4"/>
      <c r="E27" s="4"/>
      <c r="F27" s="6"/>
    </row>
    <row r="28" spans="2:7" x14ac:dyDescent="0.3">
      <c r="B28" s="2"/>
      <c r="C28" s="4"/>
      <c r="E28" s="4"/>
      <c r="F28" s="6"/>
    </row>
    <row r="29" spans="2:7" x14ac:dyDescent="0.3">
      <c r="B29" s="2"/>
      <c r="C29" s="4"/>
      <c r="E29" s="4"/>
      <c r="F29" s="6"/>
    </row>
    <row r="30" spans="2:7" x14ac:dyDescent="0.3">
      <c r="B30" s="2"/>
      <c r="C30" s="4"/>
      <c r="E30" s="4"/>
      <c r="F30" s="6"/>
    </row>
    <row r="31" spans="2:7" x14ac:dyDescent="0.3">
      <c r="B31" s="2"/>
      <c r="C31" s="4"/>
      <c r="E31" s="4"/>
      <c r="F31" s="6"/>
    </row>
    <row r="32" spans="2:7" x14ac:dyDescent="0.3">
      <c r="B32" s="2"/>
      <c r="C32" s="4"/>
      <c r="E32" s="4"/>
      <c r="F32" s="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D2ED-8436-4C50-8EB1-DD098BFA116B}">
  <dimension ref="B1:J17"/>
  <sheetViews>
    <sheetView tabSelected="1" workbookViewId="0">
      <selection activeCell="K1" sqref="K1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</cols>
  <sheetData>
    <row r="1" spans="2:10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J1">
        <v>10</v>
      </c>
    </row>
    <row r="2" spans="2:10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J2">
        <v>20</v>
      </c>
    </row>
    <row r="3" spans="2:10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J3">
        <v>30</v>
      </c>
    </row>
    <row r="4" spans="2:10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J4">
        <v>40</v>
      </c>
    </row>
    <row r="5" spans="2:10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J5">
        <v>110</v>
      </c>
    </row>
    <row r="6" spans="2:10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  <c r="J6">
        <v>100</v>
      </c>
    </row>
    <row r="7" spans="2:10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  <c r="J7">
        <v>3</v>
      </c>
    </row>
    <row r="8" spans="2:10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  <c r="J8">
        <v>2</v>
      </c>
    </row>
    <row r="9" spans="2:10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  <c r="J9">
        <v>15</v>
      </c>
    </row>
    <row r="10" spans="2:10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0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0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0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0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0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0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</sheetData>
  <conditionalFormatting sqref="K1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{7F957013-3B43-4E0C-8009-04D226170C9D}</x14:id>
        </ext>
      </extLst>
    </cfRule>
  </conditionalFormatting>
  <conditionalFormatting sqref="C2:C1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{A4F1AED8-2526-41C9-B502-21EE8EF6768F}</x14:id>
        </ext>
      </extLst>
    </cfRule>
  </conditionalFormatting>
  <conditionalFormatting sqref="C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{902D29E2-5BED-4B61-B9CE-75E64FF7CE82}</x14:id>
        </ext>
      </extLst>
    </cfRule>
  </conditionalFormatting>
  <conditionalFormatting sqref="B2:B17">
    <cfRule type="top10" dxfId="3" priority="6" rank="3"/>
  </conditionalFormatting>
  <conditionalFormatting sqref="F2:F1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{F99391CD-EB8C-464A-AC2F-389ACDC535A9}</x14:id>
        </ext>
      </extLst>
    </cfRule>
  </conditionalFormatting>
  <conditionalFormatting sqref="E1:E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{42EF53DB-EB01-4081-B4BB-B5B7737AE901}</x14:id>
        </ext>
      </extLst>
    </cfRule>
  </conditionalFormatting>
  <conditionalFormatting sqref="J1:J1048576">
    <cfRule type="iconSet" priority="2">
      <iconSet iconSet="3Arrows">
        <cfvo type="percent" val="0"/>
        <cfvo type="percent" val="33"/>
        <cfvo type="percent" val="67"/>
      </iconSet>
    </cfRule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957013-3B43-4E0C-8009-04D22617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A4F1AED8-2526-41C9-B502-21EE8EF676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C2:C17</xm:sqref>
        </x14:conditionalFormatting>
        <x14:conditionalFormatting xmlns:xm="http://schemas.microsoft.com/office/excel/2006/main">
          <x14:cfRule type="dataBar" id="{902D29E2-5BED-4B61-B9CE-75E64FF7CE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containsText" priority="5" operator="containsText" id="{D5091969-E584-4276-A473-07C4B556D9FB}">
            <xm:f>NOT(ISERROR(SEARCH($C$9,C1)))</xm:f>
            <xm:f>$C$9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C1:C1048576</xm:sqref>
        </x14:conditionalFormatting>
        <x14:conditionalFormatting xmlns:xm="http://schemas.microsoft.com/office/excel/2006/main">
          <x14:cfRule type="dataBar" id="{F99391CD-EB8C-464A-AC2F-389ACDC535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F2:F17</xm:sqref>
        </x14:conditionalFormatting>
        <x14:conditionalFormatting xmlns:xm="http://schemas.microsoft.com/office/excel/2006/main">
          <x14:cfRule type="dataBar" id="{42EF53DB-EB01-4081-B4BB-B5B7737AE9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EF56-A8AD-44D0-BBA3-E211134EA680}">
  <dimension ref="B1:K18"/>
  <sheetViews>
    <sheetView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  <col min="8" max="8" width="10.88671875" bestFit="1" customWidth="1"/>
    <col min="9" max="9" width="21.21875" bestFit="1" customWidth="1"/>
    <col min="10" max="10" width="11.44140625" bestFit="1" customWidth="1"/>
    <col min="11" max="11" width="24" bestFit="1" customWidth="1"/>
  </cols>
  <sheetData>
    <row r="1" spans="2:11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95</v>
      </c>
      <c r="I1" s="1" t="s">
        <v>96</v>
      </c>
      <c r="J1" s="1" t="s">
        <v>98</v>
      </c>
      <c r="K1" s="1" t="s">
        <v>99</v>
      </c>
    </row>
    <row r="2" spans="2:11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H2" s="2">
        <v>46027</v>
      </c>
      <c r="I2" t="s">
        <v>97</v>
      </c>
      <c r="J2">
        <v>23</v>
      </c>
      <c r="K2" t="s">
        <v>100</v>
      </c>
    </row>
    <row r="3" spans="2:11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K3" t="s">
        <v>29</v>
      </c>
    </row>
    <row r="4" spans="2:11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K4" t="s">
        <v>29</v>
      </c>
    </row>
    <row r="5" spans="2:11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K5" t="s">
        <v>100</v>
      </c>
    </row>
    <row r="6" spans="2:11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11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11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11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11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1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1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1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1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1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1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  <row r="18" spans="2:6" x14ac:dyDescent="0.3">
      <c r="B18" s="2"/>
      <c r="C18" s="4"/>
      <c r="E18" s="4"/>
      <c r="F18" s="6"/>
    </row>
  </sheetData>
  <dataValidations count="4">
    <dataValidation type="date" allowBlank="1" showInputMessage="1" showErrorMessage="1" sqref="H2:H17" xr:uid="{40E0F4A1-CB17-487F-8473-A808AC0BE773}">
      <formula1>46023</formula1>
      <formula2>46053</formula2>
    </dataValidation>
    <dataValidation type="textLength" allowBlank="1" showInputMessage="1" showErrorMessage="1" sqref="I1:I1048576" xr:uid="{8922F415-6028-469C-830D-39AACF623323}">
      <formula1>1</formula1>
      <formula2>20</formula2>
    </dataValidation>
    <dataValidation type="whole" allowBlank="1" showInputMessage="1" showErrorMessage="1" sqref="J2:J17" xr:uid="{BA8BA7EB-6C4D-4762-BC88-2971021A5237}">
      <formula1>10</formula1>
      <formula2>50000</formula2>
    </dataValidation>
    <dataValidation type="list" allowBlank="1" showInputMessage="1" showErrorMessage="1" sqref="K2:K17" xr:uid="{EB413269-84B0-4BEF-AE61-13B0D3FFDBE5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51FE-06C8-46FB-B2D6-0E4F8FC41272}">
  <dimension ref="A1:O19"/>
  <sheetViews>
    <sheetView topLeftCell="D1" zoomScale="129" zoomScaleNormal="129" workbookViewId="0">
      <selection activeCell="G2" sqref="G2"/>
    </sheetView>
  </sheetViews>
  <sheetFormatPr defaultRowHeight="14.4" x14ac:dyDescent="0.3"/>
  <cols>
    <col min="1" max="1" width="5.5546875" bestFit="1" customWidth="1"/>
    <col min="2" max="2" width="9.88671875" bestFit="1" customWidth="1"/>
    <col min="4" max="4" width="23.21875" bestFit="1" customWidth="1"/>
    <col min="5" max="5" width="19.44140625" bestFit="1" customWidth="1"/>
    <col min="6" max="6" width="23.21875" bestFit="1" customWidth="1"/>
    <col min="7" max="7" width="19.44140625" bestFit="1" customWidth="1"/>
  </cols>
  <sheetData>
    <row r="1" spans="1:15" x14ac:dyDescent="0.3">
      <c r="A1" t="s">
        <v>42</v>
      </c>
      <c r="B1" t="s">
        <v>43</v>
      </c>
      <c r="C1" t="s">
        <v>44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t="s">
        <v>45</v>
      </c>
      <c r="B2" t="s">
        <v>46</v>
      </c>
      <c r="C2" t="s">
        <v>47</v>
      </c>
      <c r="D2" t="str">
        <f>CONCATENATE(A2," ", 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LEN(G2)</f>
        <v>3</v>
      </c>
      <c r="I2" t="str">
        <f>LEFT(G2)</f>
        <v>J</v>
      </c>
      <c r="J2" t="str">
        <f>RIGHT(G2)</f>
        <v>n</v>
      </c>
      <c r="K2" t="str">
        <f>MID(G2,2,3)</f>
        <v>on</v>
      </c>
      <c r="L2">
        <f>FIND("o",G2)</f>
        <v>2</v>
      </c>
      <c r="M2">
        <f>SEARCH("o",F2)</f>
        <v>2</v>
      </c>
      <c r="N2" t="str">
        <f>REPLACE(G2,2,1,"a")</f>
        <v>Jan</v>
      </c>
    </row>
    <row r="3" spans="1:15" x14ac:dyDescent="0.3">
      <c r="A3" t="s">
        <v>45</v>
      </c>
      <c r="B3" t="s">
        <v>48</v>
      </c>
      <c r="C3" t="s">
        <v>49</v>
      </c>
      <c r="D3" t="str">
        <f t="shared" ref="D3:D19" si="0">CONCATENATE(A3," ", B3," ",C3)</f>
        <v>MR. EUGENE HUANG</v>
      </c>
      <c r="E3" t="str">
        <f t="shared" ref="E3:E19" si="1">LOWER(D3)</f>
        <v>mr. eugene huang</v>
      </c>
      <c r="F3" t="str">
        <f t="shared" ref="F3:F19" si="2">UPPER(B3)</f>
        <v>EUGENE</v>
      </c>
      <c r="G3" t="str">
        <f t="shared" ref="G3:G19" si="3">PROPER(F3)</f>
        <v>Eugene</v>
      </c>
      <c r="H3">
        <f t="shared" ref="H3:H19" si="4">LEN(G3)</f>
        <v>6</v>
      </c>
      <c r="I3" t="str">
        <f t="shared" ref="I3:I19" si="5">LEFT(G3)</f>
        <v>E</v>
      </c>
      <c r="J3" t="str">
        <f t="shared" ref="J3:J19" si="6">RIGHT(G3)</f>
        <v>e</v>
      </c>
      <c r="K3" t="str">
        <f t="shared" ref="K3:K19" si="7">MID(G3,2,3)</f>
        <v>uge</v>
      </c>
      <c r="O3" t="str">
        <f>SUBSTITUTE(G3,"e", "i", 1)</f>
        <v>Eugine</v>
      </c>
    </row>
    <row r="4" spans="1:15" x14ac:dyDescent="0.3">
      <c r="A4" t="s">
        <v>45</v>
      </c>
      <c r="B4" t="s">
        <v>50</v>
      </c>
      <c r="C4" t="s">
        <v>51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</v>
      </c>
      <c r="J4" t="str">
        <f t="shared" si="6"/>
        <v>n</v>
      </c>
      <c r="K4" t="str">
        <f t="shared" si="7"/>
        <v>ube</v>
      </c>
    </row>
    <row r="5" spans="1:15" x14ac:dyDescent="0.3">
      <c r="A5" t="s">
        <v>52</v>
      </c>
      <c r="B5" t="s">
        <v>53</v>
      </c>
      <c r="C5" t="s">
        <v>54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</v>
      </c>
      <c r="J5" t="str">
        <f t="shared" si="6"/>
        <v>y</v>
      </c>
      <c r="K5" t="str">
        <f t="shared" si="7"/>
        <v>hri</v>
      </c>
    </row>
    <row r="6" spans="1:15" x14ac:dyDescent="0.3">
      <c r="A6" t="s">
        <v>55</v>
      </c>
      <c r="B6" t="s">
        <v>56</v>
      </c>
      <c r="C6" t="s">
        <v>57</v>
      </c>
      <c r="D6" t="str">
        <f t="shared" si="0"/>
        <v>MRS. ELIZABETH JOHNSON</v>
      </c>
      <c r="E6" t="str">
        <f t="shared" si="1"/>
        <v>mrs. elizabeth johnson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</v>
      </c>
      <c r="J6" t="str">
        <f t="shared" si="6"/>
        <v>h</v>
      </c>
      <c r="K6" t="str">
        <f t="shared" si="7"/>
        <v>liz</v>
      </c>
    </row>
    <row r="7" spans="1:15" x14ac:dyDescent="0.3">
      <c r="A7" t="s">
        <v>45</v>
      </c>
      <c r="B7" t="s">
        <v>58</v>
      </c>
      <c r="C7" t="s">
        <v>59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</v>
      </c>
      <c r="J7" t="str">
        <f t="shared" si="6"/>
        <v>o</v>
      </c>
      <c r="K7" t="str">
        <f t="shared" si="7"/>
        <v>uli</v>
      </c>
    </row>
    <row r="8" spans="1:15" x14ac:dyDescent="0.3">
      <c r="A8" t="s">
        <v>45</v>
      </c>
      <c r="B8" t="s">
        <v>60</v>
      </c>
      <c r="C8" t="s">
        <v>61</v>
      </c>
      <c r="D8" t="str">
        <f t="shared" si="0"/>
        <v>MR. MARCO MEHTA</v>
      </c>
      <c r="E8" t="str">
        <f t="shared" si="1"/>
        <v>mr.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</v>
      </c>
      <c r="J8" t="str">
        <f t="shared" si="6"/>
        <v>o</v>
      </c>
      <c r="K8" t="str">
        <f t="shared" si="7"/>
        <v>arc</v>
      </c>
    </row>
    <row r="9" spans="1:15" x14ac:dyDescent="0.3">
      <c r="A9" t="s">
        <v>55</v>
      </c>
      <c r="B9" t="s">
        <v>62</v>
      </c>
      <c r="C9" t="s">
        <v>63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</v>
      </c>
      <c r="J9" t="str">
        <f t="shared" si="6"/>
        <v>n</v>
      </c>
      <c r="K9" t="str">
        <f t="shared" si="7"/>
        <v>obi</v>
      </c>
    </row>
    <row r="10" spans="1:15" x14ac:dyDescent="0.3">
      <c r="A10" t="s">
        <v>45</v>
      </c>
      <c r="B10" t="s">
        <v>64</v>
      </c>
      <c r="C10" t="s">
        <v>65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</v>
      </c>
      <c r="J10" t="str">
        <f t="shared" si="6"/>
        <v>n</v>
      </c>
      <c r="K10" t="str">
        <f t="shared" si="7"/>
        <v>han</v>
      </c>
    </row>
    <row r="11" spans="1:15" x14ac:dyDescent="0.3">
      <c r="A11" t="s">
        <v>52</v>
      </c>
      <c r="B11" t="s">
        <v>66</v>
      </c>
      <c r="C11" t="s">
        <v>67</v>
      </c>
      <c r="D11" t="str">
        <f t="shared" si="0"/>
        <v>MS. JACQUELY SUAREZ</v>
      </c>
      <c r="E11" t="str">
        <f t="shared" si="1"/>
        <v>ms. jacquely suarez</v>
      </c>
      <c r="F11" t="str">
        <f t="shared" si="2"/>
        <v>JACQUELY</v>
      </c>
      <c r="G11" t="str">
        <f t="shared" si="3"/>
        <v>Jacquely</v>
      </c>
      <c r="H11">
        <f t="shared" si="4"/>
        <v>8</v>
      </c>
      <c r="I11" t="str">
        <f t="shared" si="5"/>
        <v>J</v>
      </c>
      <c r="J11" t="str">
        <f t="shared" si="6"/>
        <v>y</v>
      </c>
      <c r="K11" t="str">
        <f t="shared" si="7"/>
        <v>acq</v>
      </c>
    </row>
    <row r="12" spans="1:15" x14ac:dyDescent="0.3">
      <c r="A12" t="s">
        <v>45</v>
      </c>
      <c r="B12" t="s">
        <v>68</v>
      </c>
      <c r="C12" t="s">
        <v>69</v>
      </c>
      <c r="D12" t="str">
        <f t="shared" si="0"/>
        <v>MR. CURTIS LU</v>
      </c>
      <c r="E12" t="str">
        <f t="shared" si="1"/>
        <v>mr. curtis lu</v>
      </c>
      <c r="F12" t="str">
        <f t="shared" si="2"/>
        <v>CURTIS</v>
      </c>
      <c r="G12" t="str">
        <f t="shared" si="3"/>
        <v>Curtis</v>
      </c>
      <c r="H12">
        <f t="shared" si="4"/>
        <v>6</v>
      </c>
      <c r="I12" t="str">
        <f t="shared" si="5"/>
        <v>C</v>
      </c>
      <c r="J12" t="str">
        <f t="shared" si="6"/>
        <v>s</v>
      </c>
      <c r="K12" t="str">
        <f t="shared" si="7"/>
        <v>urt</v>
      </c>
    </row>
    <row r="13" spans="1:15" x14ac:dyDescent="0.3">
      <c r="A13" t="s">
        <v>55</v>
      </c>
      <c r="B13" t="s">
        <v>70</v>
      </c>
      <c r="C13" t="s">
        <v>71</v>
      </c>
      <c r="D13" t="str">
        <f t="shared" si="0"/>
        <v>MRS. LAUREN WALKER</v>
      </c>
      <c r="E13" t="str">
        <f t="shared" si="1"/>
        <v>mrs. lauren walker</v>
      </c>
      <c r="F13" t="str">
        <f t="shared" si="2"/>
        <v>LAUREN</v>
      </c>
      <c r="G13" t="str">
        <f t="shared" si="3"/>
        <v>Lauren</v>
      </c>
      <c r="H13">
        <f t="shared" si="4"/>
        <v>6</v>
      </c>
      <c r="I13" t="str">
        <f t="shared" si="5"/>
        <v>L</v>
      </c>
      <c r="J13" t="str">
        <f t="shared" si="6"/>
        <v>n</v>
      </c>
      <c r="K13" t="str">
        <f t="shared" si="7"/>
        <v>aur</v>
      </c>
    </row>
    <row r="14" spans="1:15" x14ac:dyDescent="0.3">
      <c r="A14" t="s">
        <v>45</v>
      </c>
      <c r="B14" t="s">
        <v>72</v>
      </c>
      <c r="C14" t="s">
        <v>73</v>
      </c>
      <c r="D14" t="str">
        <f t="shared" si="0"/>
        <v>MR. IAN JENKINS</v>
      </c>
      <c r="E14" t="str">
        <f t="shared" si="1"/>
        <v>mr. ian jenkins</v>
      </c>
      <c r="F14" t="str">
        <f t="shared" si="2"/>
        <v>IAN</v>
      </c>
      <c r="G14" t="str">
        <f t="shared" si="3"/>
        <v>Ian</v>
      </c>
      <c r="H14">
        <f t="shared" si="4"/>
        <v>3</v>
      </c>
      <c r="I14" t="str">
        <f t="shared" si="5"/>
        <v>I</v>
      </c>
      <c r="J14" t="str">
        <f t="shared" si="6"/>
        <v>n</v>
      </c>
      <c r="K14" t="str">
        <f t="shared" si="7"/>
        <v>an</v>
      </c>
    </row>
    <row r="15" spans="1:15" x14ac:dyDescent="0.3">
      <c r="A15" t="s">
        <v>55</v>
      </c>
      <c r="B15" t="s">
        <v>74</v>
      </c>
      <c r="C15" t="s">
        <v>75</v>
      </c>
      <c r="D15" t="str">
        <f t="shared" si="0"/>
        <v>MRS. SYDNEY BENNETT</v>
      </c>
      <c r="E15" t="str">
        <f t="shared" si="1"/>
        <v>mrs. sydney bennett</v>
      </c>
      <c r="F15" t="str">
        <f t="shared" si="2"/>
        <v>SYDNEY</v>
      </c>
      <c r="G15" t="str">
        <f t="shared" si="3"/>
        <v>Sydney</v>
      </c>
      <c r="H15">
        <f t="shared" si="4"/>
        <v>6</v>
      </c>
      <c r="I15" t="str">
        <f t="shared" si="5"/>
        <v>S</v>
      </c>
      <c r="J15" t="str">
        <f t="shared" si="6"/>
        <v>y</v>
      </c>
      <c r="K15" t="str">
        <f t="shared" si="7"/>
        <v>ydn</v>
      </c>
    </row>
    <row r="16" spans="1:15" x14ac:dyDescent="0.3">
      <c r="A16" t="s">
        <v>52</v>
      </c>
      <c r="B16" t="s">
        <v>76</v>
      </c>
      <c r="C16" t="s">
        <v>77</v>
      </c>
      <c r="D16" t="str">
        <f t="shared" si="0"/>
        <v>MS. CHLOE YOUNG</v>
      </c>
      <c r="E16" t="str">
        <f t="shared" si="1"/>
        <v>ms. chloe young</v>
      </c>
      <c r="F16" t="str">
        <f t="shared" si="2"/>
        <v>CHLOE</v>
      </c>
      <c r="G16" t="str">
        <f t="shared" si="3"/>
        <v>Chloe</v>
      </c>
      <c r="H16">
        <f t="shared" si="4"/>
        <v>5</v>
      </c>
      <c r="I16" t="str">
        <f t="shared" si="5"/>
        <v>C</v>
      </c>
      <c r="J16" t="str">
        <f t="shared" si="6"/>
        <v>e</v>
      </c>
      <c r="K16" t="str">
        <f t="shared" si="7"/>
        <v>hlo</v>
      </c>
    </row>
    <row r="17" spans="1:11" x14ac:dyDescent="0.3">
      <c r="A17" t="s">
        <v>45</v>
      </c>
      <c r="B17" t="s">
        <v>78</v>
      </c>
      <c r="C17" t="s">
        <v>79</v>
      </c>
      <c r="D17" t="str">
        <f t="shared" si="0"/>
        <v>MR. WYATT HILL</v>
      </c>
      <c r="E17" t="str">
        <f t="shared" si="1"/>
        <v>mr. wyatt hill</v>
      </c>
      <c r="F17" t="str">
        <f t="shared" si="2"/>
        <v>WYATT</v>
      </c>
      <c r="G17" t="str">
        <f t="shared" si="3"/>
        <v>Wyatt</v>
      </c>
      <c r="H17">
        <f t="shared" si="4"/>
        <v>5</v>
      </c>
      <c r="I17" t="str">
        <f t="shared" si="5"/>
        <v>W</v>
      </c>
      <c r="J17" t="str">
        <f t="shared" si="6"/>
        <v>t</v>
      </c>
      <c r="K17" t="str">
        <f t="shared" si="7"/>
        <v>yat</v>
      </c>
    </row>
    <row r="18" spans="1:11" x14ac:dyDescent="0.3">
      <c r="A18" t="s">
        <v>55</v>
      </c>
      <c r="B18" t="s">
        <v>64</v>
      </c>
      <c r="C18" t="s">
        <v>80</v>
      </c>
      <c r="D18" t="str">
        <f t="shared" si="0"/>
        <v>MRS. SHANNON WANG</v>
      </c>
      <c r="E18" t="str">
        <f t="shared" si="1"/>
        <v>mrs. shannon wang</v>
      </c>
      <c r="F18" t="str">
        <f t="shared" si="2"/>
        <v>SHANNON</v>
      </c>
      <c r="G18" t="str">
        <f t="shared" si="3"/>
        <v>Shannon</v>
      </c>
      <c r="H18">
        <f t="shared" si="4"/>
        <v>7</v>
      </c>
      <c r="I18" t="str">
        <f t="shared" si="5"/>
        <v>S</v>
      </c>
      <c r="J18" t="str">
        <f t="shared" si="6"/>
        <v>n</v>
      </c>
      <c r="K18" t="str">
        <f t="shared" si="7"/>
        <v>han</v>
      </c>
    </row>
    <row r="19" spans="1:11" x14ac:dyDescent="0.3">
      <c r="A19" t="s">
        <v>45</v>
      </c>
      <c r="B19" t="s">
        <v>81</v>
      </c>
      <c r="C19" t="s">
        <v>82</v>
      </c>
      <c r="D19" t="str">
        <f t="shared" si="0"/>
        <v>MR. CLARENCE RAI</v>
      </c>
      <c r="E19" t="str">
        <f t="shared" si="1"/>
        <v>mr. clarence rai</v>
      </c>
      <c r="F19" t="str">
        <f t="shared" si="2"/>
        <v>CLARENCE</v>
      </c>
      <c r="G19" t="str">
        <f t="shared" si="3"/>
        <v>Clarence</v>
      </c>
      <c r="H19">
        <f t="shared" si="4"/>
        <v>8</v>
      </c>
      <c r="I19" t="str">
        <f t="shared" si="5"/>
        <v>C</v>
      </c>
      <c r="J19" t="str">
        <f t="shared" si="6"/>
        <v>e</v>
      </c>
      <c r="K19" t="str">
        <f t="shared" si="7"/>
        <v>lar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01EA-4D48-4D74-B9A3-258A2F191DA8}">
  <dimension ref="A1:G31"/>
  <sheetViews>
    <sheetView topLeftCell="A4" workbookViewId="0">
      <selection sqref="A1:D31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7" x14ac:dyDescent="0.3">
      <c r="A1" t="s">
        <v>101</v>
      </c>
      <c r="B1" t="s">
        <v>102</v>
      </c>
      <c r="C1" t="s">
        <v>103</v>
      </c>
      <c r="D1" t="s">
        <v>104</v>
      </c>
      <c r="F1" t="s">
        <v>189</v>
      </c>
      <c r="G1" t="s">
        <v>190</v>
      </c>
    </row>
    <row r="2" spans="1:7" x14ac:dyDescent="0.3">
      <c r="A2" t="s">
        <v>105</v>
      </c>
      <c r="B2" t="s">
        <v>106</v>
      </c>
      <c r="C2" t="s">
        <v>107</v>
      </c>
      <c r="D2">
        <v>141604</v>
      </c>
      <c r="F2" t="s">
        <v>123</v>
      </c>
      <c r="G2">
        <f>VLOOKUP(F2,A2:D31,4,FALSE)</f>
        <v>119746</v>
      </c>
    </row>
    <row r="3" spans="1:7" x14ac:dyDescent="0.3">
      <c r="A3" t="s">
        <v>108</v>
      </c>
      <c r="B3" t="s">
        <v>109</v>
      </c>
      <c r="C3" t="s">
        <v>110</v>
      </c>
      <c r="D3">
        <v>99975</v>
      </c>
    </row>
    <row r="4" spans="1:7" x14ac:dyDescent="0.3">
      <c r="A4" t="s">
        <v>111</v>
      </c>
      <c r="B4" t="s">
        <v>112</v>
      </c>
      <c r="C4" t="s">
        <v>113</v>
      </c>
      <c r="D4">
        <v>163099</v>
      </c>
    </row>
    <row r="5" spans="1:7" x14ac:dyDescent="0.3">
      <c r="A5" t="s">
        <v>114</v>
      </c>
      <c r="B5" t="s">
        <v>115</v>
      </c>
      <c r="C5" t="s">
        <v>116</v>
      </c>
      <c r="D5">
        <v>84913</v>
      </c>
    </row>
    <row r="6" spans="1:7" x14ac:dyDescent="0.3">
      <c r="A6" t="s">
        <v>117</v>
      </c>
      <c r="B6" t="s">
        <v>118</v>
      </c>
      <c r="C6" t="s">
        <v>119</v>
      </c>
      <c r="D6">
        <v>95409</v>
      </c>
    </row>
    <row r="7" spans="1:7" x14ac:dyDescent="0.3">
      <c r="A7" t="s">
        <v>120</v>
      </c>
      <c r="B7" t="s">
        <v>121</v>
      </c>
      <c r="C7" t="s">
        <v>122</v>
      </c>
      <c r="D7">
        <v>50994</v>
      </c>
    </row>
    <row r="8" spans="1:7" x14ac:dyDescent="0.3">
      <c r="A8" t="s">
        <v>123</v>
      </c>
      <c r="B8" t="s">
        <v>124</v>
      </c>
      <c r="C8" t="s">
        <v>125</v>
      </c>
      <c r="D8">
        <v>119746</v>
      </c>
    </row>
    <row r="9" spans="1:7" x14ac:dyDescent="0.3">
      <c r="A9" t="s">
        <v>126</v>
      </c>
      <c r="B9" t="s">
        <v>127</v>
      </c>
      <c r="C9" t="s">
        <v>128</v>
      </c>
      <c r="D9">
        <v>41336</v>
      </c>
    </row>
    <row r="10" spans="1:7" x14ac:dyDescent="0.3">
      <c r="A10" t="s">
        <v>129</v>
      </c>
      <c r="B10" t="s">
        <v>130</v>
      </c>
      <c r="C10" t="s">
        <v>125</v>
      </c>
      <c r="D10">
        <v>113527</v>
      </c>
    </row>
    <row r="11" spans="1:7" x14ac:dyDescent="0.3">
      <c r="A11" t="s">
        <v>131</v>
      </c>
      <c r="B11" t="s">
        <v>132</v>
      </c>
      <c r="C11" t="s">
        <v>119</v>
      </c>
      <c r="D11">
        <v>77203</v>
      </c>
    </row>
    <row r="12" spans="1:7" x14ac:dyDescent="0.3">
      <c r="A12" t="s">
        <v>133</v>
      </c>
      <c r="B12" t="s">
        <v>134</v>
      </c>
      <c r="C12" t="s">
        <v>107</v>
      </c>
      <c r="D12">
        <v>157333</v>
      </c>
    </row>
    <row r="13" spans="1:7" x14ac:dyDescent="0.3">
      <c r="A13" t="s">
        <v>135</v>
      </c>
      <c r="B13" t="s">
        <v>136</v>
      </c>
      <c r="C13" t="s">
        <v>137</v>
      </c>
      <c r="D13">
        <v>109851</v>
      </c>
    </row>
    <row r="14" spans="1:7" x14ac:dyDescent="0.3">
      <c r="A14" t="s">
        <v>138</v>
      </c>
      <c r="B14" t="s">
        <v>139</v>
      </c>
      <c r="C14" t="s">
        <v>125</v>
      </c>
      <c r="D14">
        <v>105086</v>
      </c>
    </row>
    <row r="15" spans="1:7" x14ac:dyDescent="0.3">
      <c r="A15" t="s">
        <v>140</v>
      </c>
      <c r="B15" t="s">
        <v>141</v>
      </c>
      <c r="C15" t="s">
        <v>107</v>
      </c>
      <c r="D15">
        <v>146742</v>
      </c>
    </row>
    <row r="16" spans="1:7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phoneticPr fontId="5" type="noConversion"/>
  <dataValidations count="1">
    <dataValidation type="list" allowBlank="1" showInputMessage="1" showErrorMessage="1" sqref="F2" xr:uid="{9FA0EF7B-4BEE-45D0-BABF-9D4D90D4FA7C}">
      <formula1>$A$2:$A$32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94E4-1884-4200-888E-A676CE8404DC}">
  <dimension ref="A1:E31"/>
  <sheetViews>
    <sheetView topLeftCell="A4" workbookViewId="0">
      <selection activeCell="E4" sqref="E4:E5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5" x14ac:dyDescent="0.3">
      <c r="A1" t="s">
        <v>101</v>
      </c>
      <c r="B1" t="s">
        <v>102</v>
      </c>
      <c r="C1" t="s">
        <v>103</v>
      </c>
      <c r="D1" t="s">
        <v>104</v>
      </c>
    </row>
    <row r="2" spans="1:5" x14ac:dyDescent="0.3">
      <c r="A2" t="s">
        <v>105</v>
      </c>
      <c r="B2" t="s">
        <v>106</v>
      </c>
      <c r="C2" t="s">
        <v>107</v>
      </c>
      <c r="D2">
        <v>141604</v>
      </c>
    </row>
    <row r="3" spans="1:5" x14ac:dyDescent="0.3">
      <c r="A3" t="s">
        <v>108</v>
      </c>
      <c r="B3" t="s">
        <v>109</v>
      </c>
      <c r="C3" t="s">
        <v>110</v>
      </c>
      <c r="D3">
        <v>99975</v>
      </c>
    </row>
    <row r="4" spans="1:5" x14ac:dyDescent="0.3">
      <c r="A4" t="s">
        <v>111</v>
      </c>
      <c r="B4" t="s">
        <v>112</v>
      </c>
      <c r="C4" t="s">
        <v>113</v>
      </c>
      <c r="D4">
        <v>163099</v>
      </c>
      <c r="E4" t="s">
        <v>123</v>
      </c>
    </row>
    <row r="5" spans="1:5" x14ac:dyDescent="0.3">
      <c r="A5" t="s">
        <v>114</v>
      </c>
      <c r="B5" t="s">
        <v>115</v>
      </c>
      <c r="C5" t="s">
        <v>116</v>
      </c>
      <c r="D5">
        <v>84913</v>
      </c>
      <c r="E5" t="s">
        <v>102</v>
      </c>
    </row>
    <row r="6" spans="1:5" x14ac:dyDescent="0.3">
      <c r="A6" t="s">
        <v>117</v>
      </c>
      <c r="B6" t="s">
        <v>118</v>
      </c>
      <c r="C6" t="s">
        <v>119</v>
      </c>
      <c r="D6">
        <v>95409</v>
      </c>
      <c r="E6" t="str" cm="1">
        <f t="array" ref="E6">_xlfn.XLOOKUP(E4,A2:A31,(_xlfn.XLOOKUP(E5,B1:D1,B2:D31)))</f>
        <v>Ruby Barnes</v>
      </c>
    </row>
    <row r="7" spans="1:5" x14ac:dyDescent="0.3">
      <c r="A7" t="s">
        <v>120</v>
      </c>
      <c r="B7" t="s">
        <v>121</v>
      </c>
      <c r="C7" t="s">
        <v>122</v>
      </c>
      <c r="D7">
        <v>50994</v>
      </c>
    </row>
    <row r="8" spans="1:5" x14ac:dyDescent="0.3">
      <c r="A8" t="s">
        <v>123</v>
      </c>
      <c r="B8" t="s">
        <v>124</v>
      </c>
      <c r="C8" t="s">
        <v>125</v>
      </c>
      <c r="D8">
        <v>119746</v>
      </c>
    </row>
    <row r="9" spans="1:5" x14ac:dyDescent="0.3">
      <c r="A9" t="s">
        <v>126</v>
      </c>
      <c r="B9" t="s">
        <v>127</v>
      </c>
      <c r="C9" t="s">
        <v>128</v>
      </c>
      <c r="D9">
        <v>41336</v>
      </c>
    </row>
    <row r="10" spans="1:5" x14ac:dyDescent="0.3">
      <c r="A10" t="s">
        <v>129</v>
      </c>
      <c r="B10" t="s">
        <v>130</v>
      </c>
      <c r="C10" t="s">
        <v>125</v>
      </c>
      <c r="D10">
        <v>113527</v>
      </c>
    </row>
    <row r="11" spans="1:5" x14ac:dyDescent="0.3">
      <c r="A11" t="s">
        <v>131</v>
      </c>
      <c r="B11" t="s">
        <v>132</v>
      </c>
      <c r="C11" t="s">
        <v>119</v>
      </c>
      <c r="D11">
        <v>77203</v>
      </c>
    </row>
    <row r="12" spans="1:5" x14ac:dyDescent="0.3">
      <c r="A12" t="s">
        <v>133</v>
      </c>
      <c r="B12" t="s">
        <v>134</v>
      </c>
      <c r="C12" t="s">
        <v>107</v>
      </c>
      <c r="D12">
        <v>157333</v>
      </c>
    </row>
    <row r="13" spans="1:5" x14ac:dyDescent="0.3">
      <c r="A13" t="s">
        <v>135</v>
      </c>
      <c r="B13" t="s">
        <v>136</v>
      </c>
      <c r="C13" t="s">
        <v>137</v>
      </c>
      <c r="D13">
        <v>109851</v>
      </c>
    </row>
    <row r="14" spans="1:5" x14ac:dyDescent="0.3">
      <c r="A14" t="s">
        <v>138</v>
      </c>
      <c r="B14" t="s">
        <v>139</v>
      </c>
      <c r="C14" t="s">
        <v>125</v>
      </c>
      <c r="D14">
        <v>105086</v>
      </c>
    </row>
    <row r="15" spans="1:5" x14ac:dyDescent="0.3">
      <c r="A15" t="s">
        <v>140</v>
      </c>
      <c r="B15" t="s">
        <v>141</v>
      </c>
      <c r="C15" t="s">
        <v>107</v>
      </c>
      <c r="D15">
        <v>146742</v>
      </c>
    </row>
    <row r="16" spans="1:5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dataValidations count="2">
    <dataValidation type="list" allowBlank="1" showInputMessage="1" showErrorMessage="1" sqref="E4" xr:uid="{8CE1730E-706B-4A0D-84D1-883AFB72A36B}">
      <formula1>$A$2:$A$31</formula1>
    </dataValidation>
    <dataValidation type="list" allowBlank="1" showInputMessage="1" showErrorMessage="1" sqref="E5" xr:uid="{ECE0FA3E-733D-4CF3-BF6C-40CCB43A818F}">
      <formula1>$B$1:$D$1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6209-3C69-45D4-9A93-4218AE0FE181}">
  <dimension ref="A1:M31"/>
  <sheetViews>
    <sheetView workbookViewId="0">
      <selection activeCell="E3" sqref="E3"/>
    </sheetView>
  </sheetViews>
  <sheetFormatPr defaultRowHeight="14.4" x14ac:dyDescent="0.3"/>
  <cols>
    <col min="2" max="2" width="14.44140625" bestFit="1" customWidth="1"/>
    <col min="3" max="3" width="23.6640625" bestFit="1" customWidth="1"/>
    <col min="4" max="4" width="11.77734375" bestFit="1" customWidth="1"/>
    <col min="7" max="7" width="11.77734375" bestFit="1" customWidth="1"/>
    <col min="11" max="11" width="13.77734375" bestFit="1" customWidth="1"/>
    <col min="13" max="13" width="16.109375" bestFit="1" customWidth="1"/>
  </cols>
  <sheetData>
    <row r="1" spans="1:13" x14ac:dyDescent="0.3">
      <c r="A1" t="s">
        <v>101</v>
      </c>
      <c r="B1" t="s">
        <v>102</v>
      </c>
      <c r="C1" t="s">
        <v>103</v>
      </c>
      <c r="D1" t="s">
        <v>104</v>
      </c>
    </row>
    <row r="2" spans="1:13" x14ac:dyDescent="0.3">
      <c r="A2" t="s">
        <v>105</v>
      </c>
      <c r="B2" t="s">
        <v>106</v>
      </c>
      <c r="C2" t="s">
        <v>107</v>
      </c>
      <c r="D2">
        <v>141604</v>
      </c>
    </row>
    <row r="3" spans="1:13" x14ac:dyDescent="0.3">
      <c r="A3" t="s">
        <v>108</v>
      </c>
      <c r="B3" t="s">
        <v>109</v>
      </c>
      <c r="C3" t="s">
        <v>110</v>
      </c>
      <c r="D3">
        <v>99975</v>
      </c>
      <c r="E3" t="s">
        <v>105</v>
      </c>
      <c r="G3" t="s">
        <v>192</v>
      </c>
      <c r="I3" t="s">
        <v>193</v>
      </c>
      <c r="K3" t="s">
        <v>194</v>
      </c>
      <c r="M3" t="s">
        <v>195</v>
      </c>
    </row>
    <row r="4" spans="1:13" x14ac:dyDescent="0.3">
      <c r="A4" t="s">
        <v>111</v>
      </c>
      <c r="B4" t="s">
        <v>112</v>
      </c>
      <c r="C4" t="s">
        <v>113</v>
      </c>
      <c r="D4">
        <v>163099</v>
      </c>
      <c r="E4" t="s">
        <v>103</v>
      </c>
      <c r="G4" t="str">
        <f>INDEX(B2:B31,6)</f>
        <v>Joshua Gupta</v>
      </c>
      <c r="I4">
        <f>MATCH(E3,A2:A31,0)</f>
        <v>1</v>
      </c>
      <c r="K4" t="str">
        <f>INDEX(B2:B31,MATCH(E3,A2:A31,0))</f>
        <v>Emily Davis</v>
      </c>
      <c r="M4" t="str">
        <f>INDEX(C2:C31,MATCH(E3,A2:A31,0))</f>
        <v>Sr. Manager</v>
      </c>
    </row>
    <row r="5" spans="1:13" x14ac:dyDescent="0.3">
      <c r="A5" t="s">
        <v>114</v>
      </c>
      <c r="B5" t="s">
        <v>115</v>
      </c>
      <c r="C5" t="s">
        <v>116</v>
      </c>
      <c r="D5">
        <v>84913</v>
      </c>
    </row>
    <row r="6" spans="1:13" x14ac:dyDescent="0.3">
      <c r="A6" t="s">
        <v>117</v>
      </c>
      <c r="B6" t="s">
        <v>118</v>
      </c>
      <c r="C6" t="s">
        <v>119</v>
      </c>
      <c r="D6">
        <v>95409</v>
      </c>
    </row>
    <row r="7" spans="1:13" x14ac:dyDescent="0.3">
      <c r="A7" t="s">
        <v>120</v>
      </c>
      <c r="B7" t="s">
        <v>121</v>
      </c>
      <c r="C7" t="s">
        <v>122</v>
      </c>
      <c r="D7">
        <v>50994</v>
      </c>
    </row>
    <row r="8" spans="1:13" x14ac:dyDescent="0.3">
      <c r="A8" t="s">
        <v>123</v>
      </c>
      <c r="B8" t="s">
        <v>124</v>
      </c>
      <c r="C8" t="s">
        <v>125</v>
      </c>
      <c r="D8">
        <v>119746</v>
      </c>
    </row>
    <row r="9" spans="1:13" x14ac:dyDescent="0.3">
      <c r="A9" t="s">
        <v>126</v>
      </c>
      <c r="B9" t="s">
        <v>127</v>
      </c>
      <c r="C9" t="s">
        <v>128</v>
      </c>
      <c r="D9">
        <v>41336</v>
      </c>
    </row>
    <row r="10" spans="1:13" x14ac:dyDescent="0.3">
      <c r="A10" t="s">
        <v>129</v>
      </c>
      <c r="B10" t="s">
        <v>130</v>
      </c>
      <c r="C10" t="s">
        <v>125</v>
      </c>
      <c r="D10">
        <v>113527</v>
      </c>
    </row>
    <row r="11" spans="1:13" x14ac:dyDescent="0.3">
      <c r="A11" t="s">
        <v>131</v>
      </c>
      <c r="B11" t="s">
        <v>132</v>
      </c>
      <c r="C11" t="s">
        <v>119</v>
      </c>
      <c r="D11">
        <v>77203</v>
      </c>
    </row>
    <row r="12" spans="1:13" x14ac:dyDescent="0.3">
      <c r="A12" t="s">
        <v>133</v>
      </c>
      <c r="B12" t="s">
        <v>134</v>
      </c>
      <c r="C12" t="s">
        <v>107</v>
      </c>
      <c r="D12">
        <v>157333</v>
      </c>
    </row>
    <row r="13" spans="1:13" x14ac:dyDescent="0.3">
      <c r="A13" t="s">
        <v>135</v>
      </c>
      <c r="B13" t="s">
        <v>136</v>
      </c>
      <c r="C13" t="s">
        <v>137</v>
      </c>
      <c r="D13">
        <v>109851</v>
      </c>
    </row>
    <row r="14" spans="1:13" x14ac:dyDescent="0.3">
      <c r="A14" t="s">
        <v>138</v>
      </c>
      <c r="B14" t="s">
        <v>139</v>
      </c>
      <c r="C14" t="s">
        <v>125</v>
      </c>
      <c r="D14">
        <v>105086</v>
      </c>
    </row>
    <row r="15" spans="1:13" x14ac:dyDescent="0.3">
      <c r="A15" t="s">
        <v>140</v>
      </c>
      <c r="B15" t="s">
        <v>141</v>
      </c>
      <c r="C15" t="s">
        <v>107</v>
      </c>
      <c r="D15">
        <v>146742</v>
      </c>
    </row>
    <row r="16" spans="1:13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dataValidations count="2">
    <dataValidation type="list" allowBlank="1" showInputMessage="1" showErrorMessage="1" sqref="E4" xr:uid="{43B9E7B2-DF10-48A7-B6E6-72363DDF3B91}">
      <formula1>$B$1:$D$1</formula1>
    </dataValidation>
    <dataValidation type="list" allowBlank="1" showInputMessage="1" showErrorMessage="1" sqref="E3" xr:uid="{22BDD2A8-245A-4AE2-98A1-4CB552570EDE}">
      <formula1>$A$2:$A$31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AAE6-D266-4247-A368-A211E8805AA6}">
  <dimension ref="A1:O5"/>
  <sheetViews>
    <sheetView zoomScale="130" zoomScaleNormal="130" workbookViewId="0">
      <selection activeCell="P7" sqref="P7"/>
    </sheetView>
  </sheetViews>
  <sheetFormatPr defaultRowHeight="14.4" x14ac:dyDescent="0.3"/>
  <sheetData>
    <row r="1" spans="1:15" x14ac:dyDescent="0.3">
      <c r="A1" s="11" t="s">
        <v>101</v>
      </c>
      <c r="B1" s="11" t="s">
        <v>105</v>
      </c>
      <c r="C1" s="11" t="s">
        <v>108</v>
      </c>
      <c r="D1" s="11" t="s">
        <v>111</v>
      </c>
      <c r="E1" s="11" t="s">
        <v>114</v>
      </c>
      <c r="F1" s="11" t="s">
        <v>117</v>
      </c>
      <c r="G1" s="11" t="s">
        <v>120</v>
      </c>
      <c r="H1" s="11" t="s">
        <v>123</v>
      </c>
      <c r="I1" s="11" t="s">
        <v>126</v>
      </c>
      <c r="J1" s="11" t="s">
        <v>129</v>
      </c>
      <c r="K1" s="11" t="s">
        <v>131</v>
      </c>
    </row>
    <row r="2" spans="1:15" ht="28.8" x14ac:dyDescent="0.3">
      <c r="A2" s="12" t="s">
        <v>102</v>
      </c>
      <c r="B2" s="12" t="s">
        <v>106</v>
      </c>
      <c r="C2" s="12" t="s">
        <v>109</v>
      </c>
      <c r="D2" s="12" t="s">
        <v>112</v>
      </c>
      <c r="E2" s="12" t="s">
        <v>115</v>
      </c>
      <c r="F2" s="12" t="s">
        <v>118</v>
      </c>
      <c r="G2" s="12" t="s">
        <v>121</v>
      </c>
      <c r="H2" s="12" t="s">
        <v>124</v>
      </c>
      <c r="I2" s="12" t="s">
        <v>127</v>
      </c>
      <c r="J2" s="12" t="s">
        <v>130</v>
      </c>
      <c r="K2" s="12" t="s">
        <v>132</v>
      </c>
    </row>
    <row r="3" spans="1:15" ht="43.2" x14ac:dyDescent="0.3">
      <c r="A3" s="12" t="s">
        <v>103</v>
      </c>
      <c r="B3" s="12" t="s">
        <v>107</v>
      </c>
      <c r="C3" s="12" t="s">
        <v>110</v>
      </c>
      <c r="D3" s="12" t="s">
        <v>113</v>
      </c>
      <c r="E3" s="12" t="s">
        <v>116</v>
      </c>
      <c r="F3" s="12" t="s">
        <v>119</v>
      </c>
      <c r="G3" s="12" t="s">
        <v>122</v>
      </c>
      <c r="H3" s="12" t="s">
        <v>125</v>
      </c>
      <c r="I3" s="12" t="s">
        <v>128</v>
      </c>
      <c r="J3" s="12" t="s">
        <v>125</v>
      </c>
      <c r="K3" s="12" t="s">
        <v>119</v>
      </c>
    </row>
    <row r="4" spans="1:15" ht="28.8" x14ac:dyDescent="0.3">
      <c r="A4" s="12" t="s">
        <v>104</v>
      </c>
      <c r="B4" s="12">
        <v>141604</v>
      </c>
      <c r="C4" s="12">
        <v>99975</v>
      </c>
      <c r="D4" s="12">
        <v>163099</v>
      </c>
      <c r="E4" s="12">
        <v>84913</v>
      </c>
      <c r="F4" s="12">
        <v>95409</v>
      </c>
      <c r="G4" s="12">
        <v>50994</v>
      </c>
      <c r="H4" s="12">
        <v>119746</v>
      </c>
      <c r="I4" s="12">
        <v>41336</v>
      </c>
      <c r="J4" s="12">
        <v>113527</v>
      </c>
      <c r="K4" s="12">
        <v>77203</v>
      </c>
      <c r="N4" s="13" t="s">
        <v>101</v>
      </c>
      <c r="O4" s="13" t="s">
        <v>191</v>
      </c>
    </row>
    <row r="5" spans="1:15" x14ac:dyDescent="0.3">
      <c r="N5" s="11" t="s">
        <v>108</v>
      </c>
      <c r="O5" s="13">
        <f>HLOOKUP(N5,A1:K4,4,FALSE)</f>
        <v>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Conditional Formating</vt:lpstr>
      <vt:lpstr>DATA VALIDATION</vt:lpstr>
      <vt:lpstr>Sheet2</vt:lpstr>
      <vt:lpstr>VLOOKUP</vt:lpstr>
      <vt:lpstr>XLOOKUP</vt:lpstr>
      <vt:lpstr>INDEXING+MATCHING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2026-06-06T10:43:49Z</dcterms:created>
  <dcterms:modified xsi:type="dcterms:W3CDTF">2026-06-11T16:00:47Z</dcterms:modified>
</cp:coreProperties>
</file>