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3.xml" ContentType="application/vnd.openxmlformats-officedocument.spreadsheetml.table+xml"/>
  <Override PartName="/xl/drawings/drawing3.xml" ContentType="application/vnd.openxmlformats-officedocument.drawing+xml"/>
  <Override PartName="/xl/ctrlProps/ctrlProp1.xml" ContentType="application/vnd.ms-excel.controlproperties+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Data Science\EXCEL\"/>
    </mc:Choice>
  </mc:AlternateContent>
  <xr:revisionPtr revIDLastSave="0" documentId="8_{2447C3D8-A1F6-4050-BEEA-37F1ECAECC8F}" xr6:coauthVersionLast="47" xr6:coauthVersionMax="47" xr10:uidLastSave="{00000000-0000-0000-0000-000000000000}"/>
  <bookViews>
    <workbookView xWindow="-108" yWindow="-108" windowWidth="23256" windowHeight="13176" activeTab="1" xr2:uid="{36AABD16-FB55-4B62-8B5C-5D17D78421D7}"/>
  </bookViews>
  <sheets>
    <sheet name="Sheet1" sheetId="1" r:id="rId1"/>
    <sheet name="SLICERS" sheetId="12" r:id="rId2"/>
    <sheet name="pivot1" sheetId="11" r:id="rId3"/>
    <sheet name="pivot" sheetId="10" r:id="rId4"/>
    <sheet name="Micros" sheetId="9" r:id="rId5"/>
    <sheet name="Conditional Formating" sheetId="8" r:id="rId6"/>
    <sheet name="DATA VALIDATION" sheetId="3" r:id="rId7"/>
    <sheet name="Sheet2" sheetId="2" r:id="rId8"/>
    <sheet name="VLOOKUP" sheetId="4" r:id="rId9"/>
    <sheet name="XLOOKUP" sheetId="6" r:id="rId10"/>
    <sheet name="INDEXING+MATCHING" sheetId="7" r:id="rId11"/>
    <sheet name="HLOOKUP" sheetId="5" r:id="rId12"/>
  </sheets>
  <definedNames>
    <definedName name="Slicer_Category">#N/A</definedName>
    <definedName name="Slicer_Payment_Mode">#N/A</definedName>
    <definedName name="Slicer_Payment_Mode1">#N/A</definedName>
  </definedNames>
  <calcPr calcId="191029"/>
  <pivotCaches>
    <pivotCache cacheId="10"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4:slicerCache r:id="rId16"/>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7" l="1"/>
  <c r="K4" i="7"/>
  <c r="I4" i="7"/>
  <c r="G4" i="7"/>
  <c r="E6" i="6" a="1"/>
  <c r="E6" i="6" s="1"/>
  <c r="O5" i="5"/>
  <c r="G2" i="4"/>
  <c r="O3" i="2"/>
  <c r="N2" i="2"/>
  <c r="M2" i="2"/>
  <c r="L2" i="2"/>
  <c r="K3" i="2"/>
  <c r="K4" i="2"/>
  <c r="K5" i="2"/>
  <c r="K6" i="2"/>
  <c r="K7" i="2"/>
  <c r="K8" i="2"/>
  <c r="K9" i="2"/>
  <c r="K10" i="2"/>
  <c r="K11" i="2"/>
  <c r="K12" i="2"/>
  <c r="K13" i="2"/>
  <c r="K14" i="2"/>
  <c r="K15" i="2"/>
  <c r="K16" i="2"/>
  <c r="K17" i="2"/>
  <c r="K18" i="2"/>
  <c r="K19" i="2"/>
  <c r="K2" i="2"/>
  <c r="J3" i="2"/>
  <c r="J4" i="2"/>
  <c r="J5" i="2"/>
  <c r="J6" i="2"/>
  <c r="J7" i="2"/>
  <c r="J8" i="2"/>
  <c r="J9" i="2"/>
  <c r="J10" i="2"/>
  <c r="J11" i="2"/>
  <c r="J12" i="2"/>
  <c r="J13" i="2"/>
  <c r="J14" i="2"/>
  <c r="J15" i="2"/>
  <c r="J16" i="2"/>
  <c r="J17" i="2"/>
  <c r="J18" i="2"/>
  <c r="J19" i="2"/>
  <c r="J2" i="2"/>
  <c r="I3" i="2"/>
  <c r="I4" i="2"/>
  <c r="I5" i="2"/>
  <c r="I6" i="2"/>
  <c r="I7" i="2"/>
  <c r="I8" i="2"/>
  <c r="I9" i="2"/>
  <c r="I10" i="2"/>
  <c r="I11" i="2"/>
  <c r="I12" i="2"/>
  <c r="I13" i="2"/>
  <c r="I14" i="2"/>
  <c r="I15" i="2"/>
  <c r="I16" i="2"/>
  <c r="I17" i="2"/>
  <c r="I18" i="2"/>
  <c r="I19" i="2"/>
  <c r="G3" i="2"/>
  <c r="G4" i="2"/>
  <c r="G5" i="2"/>
  <c r="G6" i="2"/>
  <c r="G7" i="2"/>
  <c r="G8" i="2"/>
  <c r="H8" i="2" s="1"/>
  <c r="G9" i="2"/>
  <c r="H9" i="2" s="1"/>
  <c r="G10" i="2"/>
  <c r="H10" i="2" s="1"/>
  <c r="G11" i="2"/>
  <c r="H11" i="2" s="1"/>
  <c r="G12" i="2"/>
  <c r="H12" i="2" s="1"/>
  <c r="G13" i="2"/>
  <c r="G14" i="2"/>
  <c r="H14" i="2" s="1"/>
  <c r="G15" i="2"/>
  <c r="G16" i="2"/>
  <c r="H16" i="2" s="1"/>
  <c r="G17" i="2"/>
  <c r="G18" i="2"/>
  <c r="G19" i="2"/>
  <c r="F3" i="2"/>
  <c r="F4" i="2"/>
  <c r="F5" i="2"/>
  <c r="F6" i="2"/>
  <c r="F7" i="2"/>
  <c r="F8" i="2"/>
  <c r="F9" i="2"/>
  <c r="F10" i="2"/>
  <c r="F11" i="2"/>
  <c r="F12" i="2"/>
  <c r="F13" i="2"/>
  <c r="F14" i="2"/>
  <c r="F15" i="2"/>
  <c r="F16" i="2"/>
  <c r="F17" i="2"/>
  <c r="F18" i="2"/>
  <c r="F19" i="2"/>
  <c r="F2" i="2"/>
  <c r="H7" i="2"/>
  <c r="H19" i="2"/>
  <c r="H2" i="2"/>
  <c r="H3" i="2"/>
  <c r="H4" i="2"/>
  <c r="H5" i="2"/>
  <c r="H6" i="2"/>
  <c r="H13" i="2"/>
  <c r="H15" i="2"/>
  <c r="H17" i="2"/>
  <c r="H18" i="2"/>
  <c r="G2" i="2"/>
  <c r="I2" i="2" s="1"/>
  <c r="E3" i="2"/>
  <c r="E4" i="2"/>
  <c r="E5" i="2"/>
  <c r="E6" i="2"/>
  <c r="E7" i="2"/>
  <c r="E8" i="2"/>
  <c r="E9" i="2"/>
  <c r="E10" i="2"/>
  <c r="E11" i="2"/>
  <c r="E12" i="2"/>
  <c r="E13" i="2"/>
  <c r="E14" i="2"/>
  <c r="E15" i="2"/>
  <c r="E16" i="2"/>
  <c r="E17" i="2"/>
  <c r="E18" i="2"/>
  <c r="E19" i="2"/>
  <c r="E2" i="2"/>
  <c r="D3" i="2"/>
  <c r="D4" i="2"/>
  <c r="D5" i="2"/>
  <c r="D6" i="2"/>
  <c r="D7" i="2"/>
  <c r="D8" i="2"/>
  <c r="D9" i="2"/>
  <c r="D10" i="2"/>
  <c r="D11" i="2"/>
  <c r="D12" i="2"/>
  <c r="D13" i="2"/>
  <c r="D14" i="2"/>
  <c r="D15" i="2"/>
  <c r="D16" i="2"/>
  <c r="D17" i="2"/>
  <c r="D18" i="2"/>
  <c r="D19" i="2"/>
  <c r="D2" i="2"/>
  <c r="O14" i="1"/>
  <c r="M7" i="1"/>
  <c r="L7" i="1"/>
  <c r="J8" i="1"/>
  <c r="K7" i="1"/>
  <c r="J7"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<sst xmlns="http://schemas.openxmlformats.org/spreadsheetml/2006/main" count="783" uniqueCount="200">
  <si>
    <t>Janauary Expensive</t>
  </si>
  <si>
    <t>Date</t>
  </si>
  <si>
    <t>Category</t>
  </si>
  <si>
    <t>Sub-Category</t>
  </si>
  <si>
    <t>Price</t>
  </si>
  <si>
    <t>Payment Mode</t>
  </si>
  <si>
    <t>Food</t>
  </si>
  <si>
    <t>Grocery</t>
  </si>
  <si>
    <t>Skincare</t>
  </si>
  <si>
    <t>Studies</t>
  </si>
  <si>
    <t>Dairy</t>
  </si>
  <si>
    <t>Bills</t>
  </si>
  <si>
    <t>Games</t>
  </si>
  <si>
    <t>Ice Cream</t>
  </si>
  <si>
    <t>Rice and Dal</t>
  </si>
  <si>
    <t>Facewash</t>
  </si>
  <si>
    <t>Restaurant</t>
  </si>
  <si>
    <t>Tution Fees</t>
  </si>
  <si>
    <t>soap</t>
  </si>
  <si>
    <t>Milk</t>
  </si>
  <si>
    <t>Electricity</t>
  </si>
  <si>
    <t xml:space="preserve">Fast Food </t>
  </si>
  <si>
    <t>Fruits and veegies</t>
  </si>
  <si>
    <t>Cylinder</t>
  </si>
  <si>
    <t>Books</t>
  </si>
  <si>
    <t>Cricke Bat</t>
  </si>
  <si>
    <t>Bread And Jam</t>
  </si>
  <si>
    <t>Deserts</t>
  </si>
  <si>
    <t>CASH</t>
  </si>
  <si>
    <t>UPI</t>
  </si>
  <si>
    <t>CARD</t>
  </si>
  <si>
    <t>Column1</t>
  </si>
  <si>
    <t>Addition</t>
  </si>
  <si>
    <t>Substraction</t>
  </si>
  <si>
    <t>Multiplication</t>
  </si>
  <si>
    <t>Division</t>
  </si>
  <si>
    <t>Cinema Hall</t>
  </si>
  <si>
    <t>Customer's Name</t>
  </si>
  <si>
    <t>Seats</t>
  </si>
  <si>
    <t>Seats Price</t>
  </si>
  <si>
    <t>Total Price</t>
  </si>
  <si>
    <t>YASH</t>
  </si>
  <si>
    <t>Prefix</t>
  </si>
  <si>
    <t>FirstName</t>
  </si>
  <si>
    <t>LastName</t>
  </si>
  <si>
    <t>MR.</t>
  </si>
  <si>
    <t>JON</t>
  </si>
  <si>
    <t>YANG</t>
  </si>
  <si>
    <t>EUGENE</t>
  </si>
  <si>
    <t>HUANG</t>
  </si>
  <si>
    <t>RUBEN</t>
  </si>
  <si>
    <t>TORRES</t>
  </si>
  <si>
    <t>MS.</t>
  </si>
  <si>
    <t>CHRISTY</t>
  </si>
  <si>
    <t>ZHU</t>
  </si>
  <si>
    <t>MRS.</t>
  </si>
  <si>
    <t>ELIZABETH</t>
  </si>
  <si>
    <t>JOHNSON</t>
  </si>
  <si>
    <t>JULIO</t>
  </si>
  <si>
    <t>RUIZ</t>
  </si>
  <si>
    <t>MARCO</t>
  </si>
  <si>
    <t>MEHTA</t>
  </si>
  <si>
    <t>ROBIN</t>
  </si>
  <si>
    <t>VERHOFF</t>
  </si>
  <si>
    <t>SHANNON</t>
  </si>
  <si>
    <t>CARLSON</t>
  </si>
  <si>
    <t>JACQUELY</t>
  </si>
  <si>
    <t>SUAREZ</t>
  </si>
  <si>
    <t>CURTIS</t>
  </si>
  <si>
    <t>LU</t>
  </si>
  <si>
    <t>LAUREN</t>
  </si>
  <si>
    <t>WALKER</t>
  </si>
  <si>
    <t>IAN</t>
  </si>
  <si>
    <t>JENKINS</t>
  </si>
  <si>
    <t>SYDNEY</t>
  </si>
  <si>
    <t>BENNETT</t>
  </si>
  <si>
    <t>CHLOE</t>
  </si>
  <si>
    <t>YOUNG</t>
  </si>
  <si>
    <t>WYATT</t>
  </si>
  <si>
    <t>HILL</t>
  </si>
  <si>
    <t>WANG</t>
  </si>
  <si>
    <t>CLARENCE</t>
  </si>
  <si>
    <t>RAI</t>
  </si>
  <si>
    <t>Concatenate</t>
  </si>
  <si>
    <t>Lower</t>
  </si>
  <si>
    <t>Upper</t>
  </si>
  <si>
    <t>Proper</t>
  </si>
  <si>
    <t>Length</t>
  </si>
  <si>
    <t>Left</t>
  </si>
  <si>
    <t>Right</t>
  </si>
  <si>
    <t>Mid</t>
  </si>
  <si>
    <t>Find</t>
  </si>
  <si>
    <t>Search</t>
  </si>
  <si>
    <t>Replace</t>
  </si>
  <si>
    <t>Substitute</t>
  </si>
  <si>
    <t>Date2</t>
  </si>
  <si>
    <t>sub-category2</t>
  </si>
  <si>
    <t xml:space="preserve">zomato </t>
  </si>
  <si>
    <t>Price2</t>
  </si>
  <si>
    <t>Payment mode2</t>
  </si>
  <si>
    <t>Card</t>
  </si>
  <si>
    <t>EEID</t>
  </si>
  <si>
    <t>Full Name</t>
  </si>
  <si>
    <t>Job Title</t>
  </si>
  <si>
    <t>Annual Salary</t>
  </si>
  <si>
    <t>E02387</t>
  </si>
  <si>
    <t>Emily Davis</t>
  </si>
  <si>
    <t>Sr. Manager</t>
  </si>
  <si>
    <t>E04105</t>
  </si>
  <si>
    <t>Theodore Dinh</t>
  </si>
  <si>
    <t>Technical Architect</t>
  </si>
  <si>
    <t>E02572</t>
  </si>
  <si>
    <t>Luna Sanders</t>
  </si>
  <si>
    <t>Director</t>
  </si>
  <si>
    <t>E02832</t>
  </si>
  <si>
    <t>Penelope Jordan</t>
  </si>
  <si>
    <t>Computer Systems Manager</t>
  </si>
  <si>
    <t>E01639</t>
  </si>
  <si>
    <t>Austin Vo</t>
  </si>
  <si>
    <t>Sr. Analyst</t>
  </si>
  <si>
    <t>E00644</t>
  </si>
  <si>
    <t>Joshua Gupta</t>
  </si>
  <si>
    <t>Account Representative</t>
  </si>
  <si>
    <t>E01550</t>
  </si>
  <si>
    <t>Ruby Barnes</t>
  </si>
  <si>
    <t>Manager</t>
  </si>
  <si>
    <t>E04332</t>
  </si>
  <si>
    <t>Luke Martin</t>
  </si>
  <si>
    <t>Analyst</t>
  </si>
  <si>
    <t>E04533</t>
  </si>
  <si>
    <t>Easton Bailey</t>
  </si>
  <si>
    <t>E03838</t>
  </si>
  <si>
    <t>Madeline Walker</t>
  </si>
  <si>
    <t>E00591</t>
  </si>
  <si>
    <t>Savannah Ali</t>
  </si>
  <si>
    <t>E03344</t>
  </si>
  <si>
    <t>Camila Rogers</t>
  </si>
  <si>
    <t>Controls Engineer</t>
  </si>
  <si>
    <t>E00530</t>
  </si>
  <si>
    <t>Eli Jones</t>
  </si>
  <si>
    <t>E04239</t>
  </si>
  <si>
    <t>Everleigh Ng</t>
  </si>
  <si>
    <t>E03496</t>
  </si>
  <si>
    <t>Robert Yang</t>
  </si>
  <si>
    <t>E00549</t>
  </si>
  <si>
    <t>Isabella Xi</t>
  </si>
  <si>
    <t>Vice President</t>
  </si>
  <si>
    <t>E01124</t>
  </si>
  <si>
    <t>Noah Wilson</t>
  </si>
  <si>
    <t>Data Analyst</t>
  </si>
  <si>
    <t>E01873</t>
  </si>
  <si>
    <t>Emma Thomas</t>
  </si>
  <si>
    <t>HR Specialist</t>
  </si>
  <si>
    <t>E02761</t>
  </si>
  <si>
    <t>William Brown</t>
  </si>
  <si>
    <t>Software Engineer</t>
  </si>
  <si>
    <t>E03982</t>
  </si>
  <si>
    <t>Olivia Johnson</t>
  </si>
  <si>
    <t>Business Analyst</t>
  </si>
  <si>
    <t>E04615</t>
  </si>
  <si>
    <t>James Lee</t>
  </si>
  <si>
    <t>Project Manager</t>
  </si>
  <si>
    <t>E05234</t>
  </si>
  <si>
    <t>Ava Clark</t>
  </si>
  <si>
    <t>Marketing Executive</t>
  </si>
  <si>
    <t>E06127</t>
  </si>
  <si>
    <t>Benjamin Hall</t>
  </si>
  <si>
    <t>Financial Analyst</t>
  </si>
  <si>
    <t>E07215</t>
  </si>
  <si>
    <t>Sophia Adams</t>
  </si>
  <si>
    <t>Operations Manager</t>
  </si>
  <si>
    <t>E08346</t>
  </si>
  <si>
    <t>Daniel Scott</t>
  </si>
  <si>
    <t>IT Support Engineer</t>
  </si>
  <si>
    <t>E09457</t>
  </si>
  <si>
    <t>Mia White</t>
  </si>
  <si>
    <t>Product Manager</t>
  </si>
  <si>
    <t>E10568</t>
  </si>
  <si>
    <t>Lucas Green</t>
  </si>
  <si>
    <t>Senior Developer</t>
  </si>
  <si>
    <t>E11679</t>
  </si>
  <si>
    <t>Charlotte King</t>
  </si>
  <si>
    <t>Recruitment Specialist</t>
  </si>
  <si>
    <t>E12780</t>
  </si>
  <si>
    <t>Henry Baker</t>
  </si>
  <si>
    <t>Sales Manager</t>
  </si>
  <si>
    <t>E13891</t>
  </si>
  <si>
    <t>Amelia Carter</t>
  </si>
  <si>
    <t>Quality Analyst</t>
  </si>
  <si>
    <t>emp id</t>
  </si>
  <si>
    <t>salary</t>
  </si>
  <si>
    <t>SALARY</t>
  </si>
  <si>
    <t>Index</t>
  </si>
  <si>
    <t>Matching</t>
  </si>
  <si>
    <t>index+matching</t>
  </si>
  <si>
    <t>indexing+matching</t>
  </si>
  <si>
    <t>Row Labels</t>
  </si>
  <si>
    <t>Sum of Price</t>
  </si>
  <si>
    <t>(blank)</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</si>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</sst>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22"/>
      <color theme="0"/>
      <name val="Aptos Narrow"/>
      <family val="2"/>
      <scheme val="minor"/>
    </font>
    <font>
      <b/>
      <sz val="16"/>
      <color theme="1"/>
      <name val="Aptos Narrow"/>
      <family val="2"/>
      <scheme val="minor"/>
    </font>
    <font>
      <sz val="18"/>
      <color theme="1"/>
      <name val="Aptos Narrow"/>
      <family val="2"/>
      <scheme val="minor"/>
    </font>
    <font>
      <b/>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theme="7" tint="-0.499984740745262"/>
        <bgColor indexed="64"/>
      </patternFill>
    </fill>
    <fill>
      <patternFill patternType="solid">
        <fgColor theme="6" tint="0.39997558519241921"/>
        <bgColor indexed="64"/>
      </patternFill>
    </fill>
    <fill>
      <patternFill patternType="solid">
        <fgColor theme="8" tint="0.39997558519241921"/>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9">
    <xf numFmtId="0" fontId="0" fillId="0" borderId="0" xfId="0"/>
    <xf numFmtId="0" fontId="2" fillId="0" borderId="0" xfId="0" applyFont="1"/>
    <xf numFmtId="14" fontId="0" fillId="0" borderId="0" xfId="0" applyNumberFormat="1"/>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6"/>
    </xf>
    <xf numFmtId="0" fontId="0" fillId="0" borderId="0" xfId="0" applyAlignment="1">
      <alignment horizontal="left" indent="7"/>
    </xf>
    <xf numFmtId="16" fontId="0" fillId="0" borderId="0" xfId="0" applyNumberFormat="1"/>
    <xf numFmtId="0" fontId="0" fillId="3" borderId="0" xfId="0" applyFill="1" applyAlignment="1">
      <alignment horizontal="left" indent="7"/>
    </xf>
    <xf numFmtId="0" fontId="0" fillId="4" borderId="0" xfId="0" applyFill="1" applyAlignment="1">
      <alignment horizontal="left" indent="7"/>
    </xf>
    <xf numFmtId="0" fontId="3" fillId="0" borderId="0" xfId="0" applyFont="1"/>
    <xf numFmtId="0" fontId="4"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1" fillId="2" borderId="0" xfId="0" applyFont="1" applyFill="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1" xfId="0" applyBorder="1"/>
  </cellXfs>
  <cellStyles count="1">
    <cellStyle name="Normal" xfId="0" builtinId="0"/>
  </cellStyles>
  <dxfs count="32">
    <dxf>
      <alignment horizontal="left" vertical="bottom" textRotation="0" wrapText="0" indent="7" justifyLastLine="0" shrinkToFit="0" readingOrder="0"/>
    </dxf>
    <dxf>
      <alignment horizontal="left" vertical="bottom" textRotation="0" wrapText="0" indent="2" justifyLastLine="0" shrinkToFit="0" readingOrder="0"/>
    </dxf>
    <dxf>
      <alignment horizontal="left" vertical="bottom" textRotation="0" wrapText="0" indent="2" justifyLastLine="0" shrinkToFit="0" readingOrder="0"/>
    </dxf>
    <dxf>
      <numFmt numFmtId="19" formatCode="dd/mm/yyyy"/>
    </dxf>
    <dxf>
      <font>
        <b/>
        <i val="0"/>
        <strike val="0"/>
        <condense val="0"/>
        <extend val="0"/>
        <outline val="0"/>
        <shadow val="0"/>
        <u val="none"/>
        <vertAlign val="baseline"/>
        <sz val="16"/>
        <color theme="1"/>
        <name val="Aptos Narrow"/>
        <family val="2"/>
        <scheme val="minor"/>
      </font>
    </dxf>
    <dxf>
      <font>
        <color rgb="FF006100"/>
      </font>
      <fill>
        <patternFill>
          <bgColor rgb="FFC6EFCE"/>
        </patternFill>
      </fill>
    </dxf>
    <dxf>
      <font>
        <color rgb="FF9C0006"/>
      </font>
      <fill>
        <patternFill>
          <bgColor rgb="FFFFC7CE"/>
        </patternFill>
      </fill>
    </dxf>
    <dxf>
      <alignment horizontal="left" vertical="bottom" textRotation="0" wrapText="0" indent="7" justifyLastLine="0" shrinkToFit="0" readingOrder="0"/>
    </dxf>
    <dxf>
      <alignment horizontal="left" vertical="bottom" textRotation="0" wrapText="0" indent="2" justifyLastLine="0" shrinkToFit="0" readingOrder="0"/>
    </dxf>
    <dxf>
      <alignment horizontal="left" vertical="bottom" textRotation="0" wrapText="0" indent="2" justifyLastLine="0" shrinkToFit="0" readingOrder="0"/>
    </dxf>
    <dxf>
      <numFmt numFmtId="19" formatCode="dd/mm/yyyy"/>
    </dxf>
    <dxf>
      <font>
        <b/>
        <i val="0"/>
        <strike val="0"/>
        <condense val="0"/>
        <extend val="0"/>
        <outline val="0"/>
        <shadow val="0"/>
        <u val="none"/>
        <vertAlign val="baseline"/>
        <sz val="16"/>
        <color theme="1"/>
        <name val="Aptos Narrow"/>
        <family val="2"/>
        <scheme val="minor"/>
      </font>
    </dxf>
    <dxf>
      <alignment horizontal="left" vertical="bottom" textRotation="0" wrapText="0" indent="7" justifyLastLine="0" shrinkToFit="0" readingOrder="0"/>
    </dxf>
    <dxf>
      <alignment horizontal="left" vertical="bottom" textRotation="0" wrapText="0" indent="2" justifyLastLine="0" shrinkToFit="0" readingOrder="0"/>
    </dxf>
    <dxf>
      <alignment horizontal="left" vertical="bottom" textRotation="0" wrapText="0" indent="2" justifyLastLine="0" shrinkToFit="0" readingOrder="0"/>
    </dxf>
    <dxf>
      <numFmt numFmtId="19" formatCode="dd/mm/yyyy"/>
    </dxf>
    <dxf>
      <font>
        <b/>
        <i val="0"/>
        <strike val="0"/>
        <condense val="0"/>
        <extend val="0"/>
        <outline val="0"/>
        <shadow val="0"/>
        <u val="none"/>
        <vertAlign val="baseline"/>
        <sz val="16"/>
        <color theme="1"/>
        <name val="Aptos Narrow"/>
        <family val="2"/>
        <scheme val="minor"/>
      </font>
    </dxf>
    <dxf>
      <alignment horizontal="left" vertical="bottom" textRotation="0" wrapText="0" indent="7" justifyLastLine="0" shrinkToFit="0" readingOrder="0"/>
    </dxf>
    <dxf>
      <alignment horizontal="left" vertical="bottom" textRotation="0" wrapText="0" indent="2" justifyLastLine="0" shrinkToFit="0" readingOrder="0"/>
    </dxf>
    <dxf>
      <alignment horizontal="left" vertical="bottom" textRotation="0" wrapText="0" indent="2" justifyLastLine="0" shrinkToFit="0" readingOrder="0"/>
    </dxf>
    <dxf>
      <numFmt numFmtId="19" formatCode="dd/mm/yyyy"/>
    </dxf>
    <dxf>
      <font>
        <b/>
        <i val="0"/>
        <strike val="0"/>
        <condense val="0"/>
        <extend val="0"/>
        <outline val="0"/>
        <shadow val="0"/>
        <u val="none"/>
        <vertAlign val="baseline"/>
        <sz val="16"/>
        <color theme="1"/>
        <name val="Aptos Narrow"/>
        <family val="2"/>
        <scheme val="minor"/>
      </font>
    </dxf>
    <dxf>
      <alignment horizontal="left" vertical="bottom" textRotation="0" wrapText="0" indent="7" justifyLastLine="0" shrinkToFit="0" readingOrder="0"/>
    </dxf>
    <dxf>
      <alignment horizontal="left" vertical="bottom" textRotation="0" wrapText="0" indent="2" justifyLastLine="0" shrinkToFit="0" readingOrder="0"/>
    </dxf>
    <dxf>
      <alignment horizontal="left" vertical="bottom" textRotation="0" wrapText="0" indent="2" justifyLastLine="0" shrinkToFit="0" readingOrder="0"/>
    </dxf>
    <dxf>
      <numFmt numFmtId="19" formatCode="dd/mm/yyyy"/>
    </dxf>
    <dxf>
      <font>
        <b/>
        <i val="0"/>
        <strike val="0"/>
        <condense val="0"/>
        <extend val="0"/>
        <outline val="0"/>
        <shadow val="0"/>
        <u val="none"/>
        <vertAlign val="baseline"/>
        <sz val="16"/>
        <color theme="1"/>
        <name val="Aptos Narrow"/>
        <family val="2"/>
        <scheme val="minor"/>
      </font>
    </dxf>
    <dxf>
      <alignment horizontal="left" vertical="bottom" textRotation="0" wrapText="0" indent="7" justifyLastLine="0" shrinkToFit="0" readingOrder="0"/>
    </dxf>
    <dxf>
      <alignment horizontal="left" vertical="bottom" textRotation="0" wrapText="0" indent="2" justifyLastLine="0" shrinkToFit="0" readingOrder="0"/>
    </dxf>
    <dxf>
      <alignment horizontal="left" vertical="bottom" textRotation="0" wrapText="0" indent="2" justifyLastLine="0" shrinkToFit="0" readingOrder="0"/>
    </dxf>
    <dxf>
      <numFmt numFmtId="19" formatCode="dd/mm/yyyy"/>
    </dxf>
    <dxf>
      <font>
        <b/>
        <i val="0"/>
        <strike val="0"/>
        <condense val="0"/>
        <extend val="0"/>
        <outline val="0"/>
        <shadow val="0"/>
        <u val="none"/>
        <vertAlign val="baseline"/>
        <sz val="16"/>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trlProps/ctrlProp1.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xdr:twoCellAnchor editAs="absolute">
    <xdr:from>
      <xdr:col>7</xdr:col>
      <xdr:colOff>121920</xdr:colOff>
      <xdr:row>0</xdr:row>
      <xdr:rowOff>91441</xdr:rowOff>
    </xdr:from>
    <xdr:to>
      <xdr:col>9</xdr:col>
      <xdr:colOff>396240</xdr:colOff>
      <xdr:row>8</xdr:row>
      <xdr:rowOff>114300</xdr:rowOff>
    </xdr:to>
    <mc:AlternateContent xmlns:mc="http://schemas.openxmlformats.org/markup-compatibility/2006">
      <mc:Choice xmlns:sle15="http://schemas.microsoft.com/office/drawing/2012/slicer" Requires="sle15">
        <xdr:graphicFrame macro="">
          <xdr:nvGraphicFramePr>
            <xdr:cNvPr id="2" name="Payment Mode 1">
              <a:extLst>
                <a:ext uri="{FF2B5EF4-FFF2-40B4-BE49-F238E27FC236}">
                  <a16:creationId xmlns:a16="http://schemas.microsoft.com/office/drawing/2014/main" id="{2D0136DB-4A49-D742-6733-1E75119E7D33}"/>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dr:sp macro="" textlink="">
          <xdr:nvSpPr>
            <xdr:cNvPr id="0" name=""/>
            <xdr:cNvSpPr>
              <a:spLocks noTextEdit="1"/>
            </xdr:cNvSpPr>
          </xdr:nvSpPr>
          <xdr:spPr>
            <a:xfrm>
              <a:off x="7048500" y="91441"/>
              <a:ext cx="1493520" cy="15697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60960</xdr:colOff>
      <xdr:row>9</xdr:row>
      <xdr:rowOff>60960</xdr:rowOff>
    </xdr:from>
    <xdr:to>
      <xdr:col>10</xdr:col>
      <xdr:colOff>60960</xdr:colOff>
      <xdr:row>25</xdr:row>
      <xdr:rowOff>91440</xdr:rowOff>
    </xdr:to>
    <mc:AlternateContent xmlns:mc="http://schemas.openxmlformats.org/markup-compatibility/2006">
      <mc:Choice xmlns:sle15="http://schemas.microsoft.com/office/drawing/2012/slicer" Requires="sle15">
        <xdr:graphicFrame macro="">
          <xdr:nvGraphicFramePr>
            <xdr:cNvPr id="3" name="Category">
              <a:extLst>
                <a:ext uri="{FF2B5EF4-FFF2-40B4-BE49-F238E27FC236}">
                  <a16:creationId xmlns:a16="http://schemas.microsoft.com/office/drawing/2014/main" id="{2A30E54B-A04F-15DA-BE6B-CAF93EDE3FD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987540" y="1790700"/>
              <a:ext cx="1828800" cy="29565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119380</xdr:colOff>
      <xdr:row>1</xdr:row>
      <xdr:rowOff>20321</xdr:rowOff>
    </xdr:from>
    <xdr:to>
      <xdr:col>7</xdr:col>
      <xdr:colOff>119380</xdr:colOff>
      <xdr:row>7</xdr:row>
      <xdr:rowOff>81281</xdr:rowOff>
    </xdr:to>
    <mc:AlternateContent xmlns:mc="http://schemas.openxmlformats.org/markup-compatibility/2006">
      <mc:Choice xmlns:a14="http://schemas.microsoft.com/office/drawing/2010/main" Requires="a14">
        <xdr:graphicFrame macro="">
          <xdr:nvGraphicFramePr>
            <xdr:cNvPr id="2" name="Payment Mode">
              <a:extLst>
                <a:ext uri="{FF2B5EF4-FFF2-40B4-BE49-F238E27FC236}">
                  <a16:creationId xmlns:a16="http://schemas.microsoft.com/office/drawing/2014/main" id="{9BC760FE-CFA1-5B4D-5631-4906DB6E0DE2}"/>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3543300" y="203201"/>
              <a:ext cx="1828800" cy="1158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9</xdr:col>
          <xdr:colOff>0</xdr:colOff>
          <xdr:row>1</xdr:row>
          <xdr:rowOff>7620</xdr:rowOff>
        </xdr:from>
        <xdr:to>
          <xdr:col>13</xdr:col>
          <xdr:colOff>7620</xdr:colOff>
          <xdr:row>5</xdr:row>
          <xdr:rowOff>160020</xdr:rowOff>
        </xdr:to>
        <xdr:sp macro="" textlink="">
          <xdr:nvSpPr>
            <xdr:cNvPr id="9218" name="Button 2" hidden="1">
              <a:extLst>
                <a:ext uri="{63B3BB69-23CF-44E3-9099-C40C66FF867C}">
                  <a14:compatExt spid="_x0000_s9218"/>
                </a:ext>
                <a:ext uri="{FF2B5EF4-FFF2-40B4-BE49-F238E27FC236}">
                  <a16:creationId xmlns:a16="http://schemas.microsoft.com/office/drawing/2014/main" id="{00000000-0008-0000-0100-0000022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IN" sz="1100" b="0" i="0" u="none" strike="noStrike" baseline="0">
                  <a:solidFill>
                    <a:srgbClr val="000000"/>
                  </a:solidFill>
                  <a:latin typeface="Aptos Narrow"/>
                </a:rPr>
                <a:t>Button 2</a:t>
              </a:r>
            </a:p>
          </xdr:txBody>
        </xdr:sp>
        <xdr:clientData fPrintsWithSheet="0"/>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Mishra" refreshedDate="46184.911006018519" createdVersion="8" refreshedVersion="8" minRefreshableVersion="3" recordCount="16" xr:uid="{AA7C8477-6280-4C28-B853-3ECC9AA91338}">
  <cacheSource type="worksheet">
    <worksheetSource name="Table16"/>
  </cacheSource>
  <cacheFields count="6">
    <cacheField name="Date" numFmtId="14">
      <sharedItems containsNonDate="0" containsDate="1" containsString="0" containsBlank="1" minDate="2026-01-01T00:00:00" maxDate="2026-01-16T00:00:00" count="16">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m/>
      </sharedItems>
    </cacheField>
    <cacheField name="Category" numFmtId="0">
      <sharedItems containsBlank="1" count="8">
        <s v="Food"/>
        <s v="Grocery"/>
        <s v="Skincare"/>
        <s v="Studies"/>
        <s v="Dairy"/>
        <s v="Bills"/>
        <s v="Games"/>
        <m/>
      </sharedItems>
    </cacheField>
    <cacheField name="Sub-Category" numFmtId="0">
      <sharedItems containsBlank="1" count="16">
        <s v="Ice Cream"/>
        <s v="Rice and Dal"/>
        <s v="Facewash"/>
        <s v="Restaurant"/>
        <s v="Tution Fees"/>
        <s v="soap"/>
        <s v="Milk"/>
        <s v="Electricity"/>
        <s v="Fast Food "/>
        <s v="Fruits and veegies"/>
        <s v="Cylinder"/>
        <s v="Books"/>
        <s v="Cricke Bat"/>
        <s v="Bread And Jam"/>
        <s v="Deserts"/>
        <m/>
      </sharedItems>
    </cacheField>
    <cacheField name="Price" numFmtId="0">
      <sharedItems containsString="0" containsBlank="1" containsNumber="1" containsInteger="1" minValue="15" maxValue="2000"/>
    </cacheField>
    <cacheField name="Payment Mode" numFmtId="0">
      <sharedItems containsBlank="1" count="4">
        <s v="CASH"/>
        <s v="UPI"/>
        <s v="CARD"/>
        <m/>
      </sharedItems>
    </cacheField>
    <cacheField name="Column1" numFmtId="0">
      <sharedItems containsNonDate="0" containsDate="1" containsString="0" containsBlank="1" minDate="2026-01-01T00:00:00" maxDate="2026-01-16T00:00:00"/>
    </cacheField>
  </cacheFields>
  <extLst>
    <ext xmlns:x14="http://schemas.microsoft.com/office/spreadsheetml/2009/9/main" uri="{725AE2AE-9491-48be-B2B4-4EB974FC3084}">
      <x14:pivotCacheDefinition pivotCacheId="17568116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x v="0"/>
    <x v="0"/>
    <n v="30"/>
    <x v="0"/>
    <d v="2026-01-01T00:00:00"/>
  </r>
  <r>
    <x v="1"/>
    <x v="1"/>
    <x v="1"/>
    <n v="30"/>
    <x v="1"/>
    <d v="2026-01-02T00:00:00"/>
  </r>
  <r>
    <x v="2"/>
    <x v="2"/>
    <x v="2"/>
    <n v="200"/>
    <x v="1"/>
    <d v="2026-01-03T00:00:00"/>
  </r>
  <r>
    <x v="3"/>
    <x v="0"/>
    <x v="3"/>
    <n v="900"/>
    <x v="2"/>
    <d v="2026-01-04T00:00:00"/>
  </r>
  <r>
    <x v="4"/>
    <x v="3"/>
    <x v="4"/>
    <n v="1500"/>
    <x v="1"/>
    <d v="2026-01-05T00:00:00"/>
  </r>
  <r>
    <x v="5"/>
    <x v="1"/>
    <x v="5"/>
    <n v="15"/>
    <x v="0"/>
    <d v="2026-01-06T00:00:00"/>
  </r>
  <r>
    <x v="6"/>
    <x v="4"/>
    <x v="6"/>
    <n v="60"/>
    <x v="0"/>
    <d v="2026-01-07T00:00:00"/>
  </r>
  <r>
    <x v="7"/>
    <x v="5"/>
    <x v="7"/>
    <n v="2000"/>
    <x v="2"/>
    <d v="2026-01-08T00:00:00"/>
  </r>
  <r>
    <x v="8"/>
    <x v="0"/>
    <x v="8"/>
    <n v="150"/>
    <x v="1"/>
    <d v="2026-01-09T00:00:00"/>
  </r>
  <r>
    <x v="9"/>
    <x v="1"/>
    <x v="9"/>
    <n v="300"/>
    <x v="0"/>
    <d v="2026-01-10T00:00:00"/>
  </r>
  <r>
    <x v="10"/>
    <x v="5"/>
    <x v="10"/>
    <n v="950"/>
    <x v="2"/>
    <d v="2026-01-11T00:00:00"/>
  </r>
  <r>
    <x v="11"/>
    <x v="3"/>
    <x v="11"/>
    <n v="1100"/>
    <x v="1"/>
    <d v="2026-01-12T00:00:00"/>
  </r>
  <r>
    <x v="12"/>
    <x v="6"/>
    <x v="12"/>
    <n v="1000"/>
    <x v="1"/>
    <d v="2026-01-13T00:00:00"/>
  </r>
  <r>
    <x v="13"/>
    <x v="1"/>
    <x v="13"/>
    <n v="60"/>
    <x v="1"/>
    <d v="2026-01-14T00:00:00"/>
  </r>
  <r>
    <x v="14"/>
    <x v="0"/>
    <x v="14"/>
    <n v="200"/>
    <x v="0"/>
    <d v="2026-01-15T00:00:00"/>
  </r>
  <r>
    <x v="15"/>
    <x v="7"/>
    <x v="15"/>
    <m/>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008EB2-B839-4D87-BDC4-DC67D4F1BFA1}"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0" firstHeaderRow="1" firstDataRow="1" firstDataCol="1"/>
  <pivotFields count="6">
    <pivotField showAll="0"/>
    <pivotField axis="axisRow" showAll="0">
      <items count="9">
        <item x="5"/>
        <item x="4"/>
        <item x="0"/>
        <item x="6"/>
        <item x="1"/>
        <item x="2"/>
        <item x="3"/>
        <item x="7"/>
        <item t="default"/>
      </items>
    </pivotField>
    <pivotField axis="axisRow" showAll="0">
      <items count="17">
        <item x="11"/>
        <item x="13"/>
        <item x="12"/>
        <item x="10"/>
        <item x="14"/>
        <item x="7"/>
        <item x="2"/>
        <item x="8"/>
        <item x="9"/>
        <item x="0"/>
        <item x="6"/>
        <item x="3"/>
        <item x="1"/>
        <item x="5"/>
        <item x="4"/>
        <item x="15"/>
        <item t="default"/>
      </items>
    </pivotField>
    <pivotField dataField="1" showAll="0"/>
    <pivotField axis="axisRow" showAll="0">
      <items count="5">
        <item x="2"/>
        <item x="0"/>
        <item x="1"/>
        <item x="3"/>
        <item t="default"/>
      </items>
    </pivotField>
    <pivotField showAll="0"/>
  </pivotFields>
  <rowFields count="3">
    <field x="4"/>
    <field x="2"/>
    <field x="1"/>
  </rowFields>
  <rowItems count="37">
    <i>
      <x/>
    </i>
    <i r="1">
      <x v="3"/>
    </i>
    <i r="2">
      <x/>
    </i>
    <i r="1">
      <x v="5"/>
    </i>
    <i r="2">
      <x/>
    </i>
    <i r="1">
      <x v="11"/>
    </i>
    <i r="2">
      <x v="2"/>
    </i>
    <i>
      <x v="1"/>
    </i>
    <i r="1">
      <x v="4"/>
    </i>
    <i r="2">
      <x v="2"/>
    </i>
    <i r="1">
      <x v="8"/>
    </i>
    <i r="2">
      <x v="4"/>
    </i>
    <i r="1">
      <x v="9"/>
    </i>
    <i r="2">
      <x v="2"/>
    </i>
    <i r="1">
      <x v="10"/>
    </i>
    <i r="2">
      <x v="1"/>
    </i>
    <i r="1">
      <x v="13"/>
    </i>
    <i r="2">
      <x v="4"/>
    </i>
    <i>
      <x v="2"/>
    </i>
    <i r="1">
      <x/>
    </i>
    <i r="2">
      <x v="6"/>
    </i>
    <i r="1">
      <x v="1"/>
    </i>
    <i r="2">
      <x v="4"/>
    </i>
    <i r="1">
      <x v="2"/>
    </i>
    <i r="2">
      <x v="3"/>
    </i>
    <i r="1">
      <x v="6"/>
    </i>
    <i r="2">
      <x v="5"/>
    </i>
    <i r="1">
      <x v="7"/>
    </i>
    <i r="2">
      <x v="2"/>
    </i>
    <i r="1">
      <x v="12"/>
    </i>
    <i r="2">
      <x v="4"/>
    </i>
    <i r="1">
      <x v="14"/>
    </i>
    <i r="2">
      <x v="6"/>
    </i>
    <i>
      <x v="3"/>
    </i>
    <i r="1">
      <x v="15"/>
    </i>
    <i r="2">
      <x v="7"/>
    </i>
    <i t="grand">
      <x/>
    </i>
  </rowItems>
  <colItems count="1">
    <i/>
  </colItems>
  <dataFields count="1">
    <dataField name="Sum of Pric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7924CA-23D6-4292-ACF1-EA94BBF25438}"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J17" firstHeaderRow="1" firstDataRow="1" firstDataCol="1"/>
  <pivotFields count="6">
    <pivotField showAll="0">
      <items count="17">
        <item x="0"/>
        <item x="1"/>
        <item x="2"/>
        <item x="3"/>
        <item x="4"/>
        <item x="5"/>
        <item x="6"/>
        <item x="7"/>
        <item x="8"/>
        <item x="9"/>
        <item x="10"/>
        <item x="11"/>
        <item x="12"/>
        <item x="13"/>
        <item x="14"/>
        <item x="15"/>
        <item t="default"/>
      </items>
    </pivotField>
    <pivotField axis="axisRow" showAll="0">
      <items count="9">
        <item x="5"/>
        <item x="4"/>
        <item x="0"/>
        <item x="6"/>
        <item x="1"/>
        <item x="2"/>
        <item x="3"/>
        <item x="7"/>
        <item t="default"/>
      </items>
    </pivotField>
    <pivotField showAll="0"/>
    <pivotField dataField="1" showAll="0"/>
    <pivotField axis="axisRow" showAll="0">
      <items count="5">
        <item x="2"/>
        <item x="0"/>
        <item x="1"/>
        <item x="3"/>
        <item t="default"/>
      </items>
    </pivotField>
    <pivotField showAll="0"/>
  </pivotFields>
  <rowFields count="2">
    <field x="4"/>
    <field x="1"/>
  </rowFields>
  <rowItems count="16">
    <i>
      <x/>
    </i>
    <i r="1">
      <x/>
    </i>
    <i r="1">
      <x v="2"/>
    </i>
    <i>
      <x v="1"/>
    </i>
    <i r="1">
      <x v="1"/>
    </i>
    <i r="1">
      <x v="2"/>
    </i>
    <i r="1">
      <x v="4"/>
    </i>
    <i>
      <x v="2"/>
    </i>
    <i r="1">
      <x v="2"/>
    </i>
    <i r="1">
      <x v="3"/>
    </i>
    <i r="1">
      <x v="4"/>
    </i>
    <i r="1">
      <x v="5"/>
    </i>
    <i r="1">
      <x v="6"/>
    </i>
    <i>
      <x v="3"/>
    </i>
    <i r="1">
      <x v="7"/>
    </i>
    <i t="grand">
      <x/>
    </i>
  </rowItems>
  <colItems count="1">
    <i/>
  </colItems>
  <dataFields count="1">
    <dataField name="Sum of Pric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703238-D289-43FC-AB8A-AE6A9C6119E8}" name="PivotTable3" cacheId="1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 firstHeaderRow="0" firstDataRow="0" firstDataCol="0"/>
  <pivotFields count="6">
    <pivotField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DD06A69-C479-4214-8898-78E826837879}" sourceName="Payment Mode">
  <pivotTables>
    <pivotTable tabId="11" name="PivotTable2"/>
  </pivotTables>
  <data>
    <tabular pivotCacheId="1756811642">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19098A42-D5DD-4F8C-9C0E-62172380CDBC}" sourceName="Payment Mode">
  <extLst>
    <x:ext xmlns:x15="http://schemas.microsoft.com/office/spreadsheetml/2010/11/main" uri="{2F2917AC-EB37-4324-AD4E-5DD8C200BD13}">
      <x15:tableSlicerCache tableId="6"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1B4D349-67A4-4C4D-B736-E83BA8E12195}" sourceName="Category">
  <extLst>
    <x:ext xmlns:x15="http://schemas.microsoft.com/office/spreadsheetml/2010/11/main" uri="{2F2917AC-EB37-4324-AD4E-5DD8C200BD13}">
      <x15:tableSlicerCache tableId="6"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1" xr10:uid="{61AD92B5-D78D-4006-94CE-781FA3F57317}" cache="Slicer_Payment_Mode1" caption="Payment Mode" rowHeight="247650"/>
  <slicer name="Category" xr10:uid="{9838140B-AF2D-4AE7-BAEE-3EB95CE903A9}" cache="Slicer_Category" caption="Catego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EE527D98-C6A1-4589-89ED-2FF151ED02B0}" cache="Slicer_Payment_Mode" caption="Payment Mod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41575D-B9BA-4C9C-BF68-EF90BCF32B66}" name="Table1" displayName="Table1" ref="B2:G18" totalsRowShown="0" headerRowDxfId="31">
  <autoFilter ref="B2:G18" xr:uid="{6741575D-B9BA-4C9C-BF68-EF90BCF32B66}"/>
  <sortState xmlns:xlrd2="http://schemas.microsoft.com/office/spreadsheetml/2017/richdata2" ref="B3:G18">
    <sortCondition ref="G3:G18"/>
  </sortState>
  <tableColumns count="6">
    <tableColumn id="1" xr3:uid="{3A09D6FC-C4F6-4E79-B95D-339260260F8D}" name="Date" dataDxfId="30"/>
    <tableColumn id="2" xr3:uid="{3366B324-AECE-449B-8087-184B669CC456}" name="Category" dataDxfId="29"/>
    <tableColumn id="3" xr3:uid="{D3B7CE3B-A605-4012-B519-240A6F33AA63}" name="Sub-Category"/>
    <tableColumn id="4" xr3:uid="{AD671E78-1343-4A10-BCF8-447D4E21159A}" name="Price" dataDxfId="28"/>
    <tableColumn id="5" xr3:uid="{1831F971-D364-40E1-AF66-ED254589B6D3}" name="Payment Mode" dataDxfId="27"/>
    <tableColumn id="6" xr3:uid="{D3D568AD-C237-430D-961D-6E66040818CC}" name="Column1"/>
  </tableColumns>
  <tableStyleInfo name="TableStyleMedium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EEA7A94-D90A-4556-88BF-8DEDC9DC57EA}" name="Table17" displayName="Table17" ref="B1:G17" totalsRowShown="0" headerRowDxfId="4">
  <autoFilter ref="B1:G17" xr:uid="{DEEA7A94-D90A-4556-88BF-8DEDC9DC57EA}"/>
  <sortState xmlns:xlrd2="http://schemas.microsoft.com/office/spreadsheetml/2017/richdata2" ref="B2:G17">
    <sortCondition ref="G3:G18"/>
  </sortState>
  <tableColumns count="6">
    <tableColumn id="1" xr3:uid="{532A7D42-4974-49EB-BD50-1321E2F36F4D}" name="Date" dataDxfId="3"/>
    <tableColumn id="2" xr3:uid="{7E8027E5-3C6B-47A4-96E3-810962AF3A0D}" name="Category" dataDxfId="2"/>
    <tableColumn id="3" xr3:uid="{0E628E1D-7E4C-409A-9218-40949A9DC522}" name="Sub-Category"/>
    <tableColumn id="4" xr3:uid="{87906CDC-ED78-4F2D-AEA4-99420857AF53}" name="Price" dataDxfId="1"/>
    <tableColumn id="5" xr3:uid="{A909E246-3BC6-4713-964C-A35F1D2C9786}" name="Payment Mode" dataDxfId="0"/>
    <tableColumn id="6" xr3:uid="{5F5D3B66-34E6-4AB9-88CA-3E947B1C5DB6}" name="Column1"/>
  </tableColumns>
  <tableStyleInfo name="TableStyleMedium1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7993174-E31B-4C86-AAC2-A58EFDBAC0D5}" name="Table16" displayName="Table16" ref="B1:G17" totalsRowShown="0" headerRowDxfId="11">
  <autoFilter ref="B1:G17" xr:uid="{A7993174-E31B-4C86-AAC2-A58EFDBAC0D5}"/>
  <sortState xmlns:xlrd2="http://schemas.microsoft.com/office/spreadsheetml/2017/richdata2" ref="B2:G17">
    <sortCondition ref="G3:G18"/>
  </sortState>
  <tableColumns count="6">
    <tableColumn id="1" xr3:uid="{F26979DF-0163-415D-9FCE-1B2F49CA5CA6}" name="Date" dataDxfId="10"/>
    <tableColumn id="2" xr3:uid="{9CB50679-BA44-4507-A5A6-5DE2CDBDBC4B}" name="Category" dataDxfId="9"/>
    <tableColumn id="3" xr3:uid="{8F471A2A-6B6A-440C-A49A-FBC17054DB7B}" name="Sub-Category"/>
    <tableColumn id="4" xr3:uid="{6DFDE414-885C-4751-8DEC-A486D5669153}" name="Price" dataDxfId="8"/>
    <tableColumn id="5" xr3:uid="{C2018959-F41F-43A3-8A54-3318104E1A41}" name="Payment Mode" dataDxfId="7"/>
    <tableColumn id="6" xr3:uid="{D79143CA-BD25-4681-8400-213F979125B9}" name="Column1"/>
  </tableColumns>
  <tableStyleInfo name="TableStyleMedium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527062F-FD32-48B2-876D-A544E046A7E1}" name="Table15" displayName="Table15" ref="B1:G17" totalsRowShown="0" headerRowDxfId="16">
  <autoFilter ref="B1:G17" xr:uid="{3527062F-FD32-48B2-876D-A544E046A7E1}"/>
  <sortState xmlns:xlrd2="http://schemas.microsoft.com/office/spreadsheetml/2017/richdata2" ref="B2:G17">
    <sortCondition ref="B2:B17"/>
  </sortState>
  <tableColumns count="6">
    <tableColumn id="1" xr3:uid="{1A53AB6B-831E-4C3E-A6F0-BED58E468FB5}" name="Date" dataDxfId="15"/>
    <tableColumn id="2" xr3:uid="{D40DF70C-2785-46BC-8A4B-989168E825F3}" name="Category" dataDxfId="14"/>
    <tableColumn id="3" xr3:uid="{70B3A278-BFA1-46A1-AA5E-9FFBEE6A8102}" name="Sub-Category"/>
    <tableColumn id="4" xr3:uid="{BC32E9FD-E586-4E4F-A86B-7E1A34CB8959}" name="Price" dataDxfId="13"/>
    <tableColumn id="5" xr3:uid="{70B13736-BC1D-470D-A912-45DAB4B516B8}" name="Payment Mode" dataDxfId="12"/>
    <tableColumn id="6" xr3:uid="{F3C21BE2-041E-44BE-8E32-C45417699102}" name="Column1"/>
  </tableColumns>
  <tableStyleInfo name="TableStyleMedium1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A350279-FFA6-4E3F-83AE-5CC79A18BE81}" name="Table14" displayName="Table14" ref="B1:G17" totalsRowShown="0" headerRowDxfId="21">
  <autoFilter ref="B1:G17" xr:uid="{EA350279-FFA6-4E3F-83AE-5CC79A18BE81}"/>
  <sortState xmlns:xlrd2="http://schemas.microsoft.com/office/spreadsheetml/2017/richdata2" ref="B2:G17">
    <sortCondition ref="G3:G18"/>
  </sortState>
  <tableColumns count="6">
    <tableColumn id="1" xr3:uid="{47D7F1D7-65CD-4EFE-803F-0CF8E888529A}" name="Date" dataDxfId="20"/>
    <tableColumn id="2" xr3:uid="{9747EF65-A771-46F2-B698-57FA39FC0142}" name="Category" dataDxfId="19"/>
    <tableColumn id="3" xr3:uid="{85508728-77C7-4E2C-9C4F-4BB0C2FC30CF}" name="Sub-Category"/>
    <tableColumn id="4" xr3:uid="{562D17C2-BAB4-44F5-8C54-96CF43071D6C}" name="Price" dataDxfId="18"/>
    <tableColumn id="5" xr3:uid="{425AB7FA-3D63-4268-9F1C-C9E6895D722C}" name="Payment Mode" dataDxfId="17"/>
    <tableColumn id="6" xr3:uid="{52B09027-8FA2-4818-9B1E-1774BD195794}" name="Column1"/>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160226-6899-4446-8A40-71790A29B7E1}" name="Table13" displayName="Table13" ref="B1:K17" totalsRowShown="0" headerRowDxfId="26">
  <autoFilter ref="B1:K17" xr:uid="{45160226-6899-4446-8A40-71790A29B7E1}"/>
  <sortState xmlns:xlrd2="http://schemas.microsoft.com/office/spreadsheetml/2017/richdata2" ref="B2:G17">
    <sortCondition ref="G3:G18"/>
  </sortState>
  <tableColumns count="10">
    <tableColumn id="1" xr3:uid="{2FADD061-1EBB-43C8-9B04-9790DD85C0FE}" name="Date" dataDxfId="25"/>
    <tableColumn id="2" xr3:uid="{74FB932E-8316-47A4-AA70-C8F96BD39DF0}" name="Category" dataDxfId="24"/>
    <tableColumn id="3" xr3:uid="{27E47DE0-5CFE-4C91-931B-2BCDECD3FF33}" name="Sub-Category"/>
    <tableColumn id="4" xr3:uid="{5D6A0EA3-CE4B-49C8-8E73-D89470B1635A}" name="Price" dataDxfId="23"/>
    <tableColumn id="5" xr3:uid="{090DFDA1-04B0-4409-90BC-386F3230118D}" name="Payment Mode" dataDxfId="22"/>
    <tableColumn id="6" xr3:uid="{E5285D34-609E-4CB3-9192-F15BBF147EE9}" name="Column1"/>
    <tableColumn id="7" xr3:uid="{643F5032-2830-4120-8703-10DD3D6975DB}" name="Date2"/>
    <tableColumn id="8" xr3:uid="{54A5BDE9-8A61-42E0-AEED-DC6342166315}" name="sub-category2"/>
    <tableColumn id="9" xr3:uid="{71096357-D5C1-4F23-BD20-A9F662586EE0}" name="Price2"/>
    <tableColumn id="10" xr3:uid="{6DBBE883-8110-41D0-A15F-9BAE1E112936}" name="Payment mode2"/>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3.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9DEA5-1AE9-49B6-B891-2CF2B17D805C}">
  <sheetPr codeName="Sheet1"/>
  <dimension ref="A1:R32"/>
  <sheetViews>
    <sheetView workbookViewId="0">
      <selection activeCell="A2" sqref="A2:G18"/>
    </sheetView>
  </sheetViews>
  <sheetFormatPr defaultRowHeight="14.4" x14ac:dyDescent="0.3"/>
  <cols>
    <col min="1" max="1" width="33.44140625" bestFit="1" customWidth="1"/>
    <col min="2" max="2" width="10.33203125" bestFit="1" customWidth="1"/>
    <col min="3" max="3" width="14" customWidth="1"/>
    <col min="4" max="4" width="19.6640625" customWidth="1"/>
    <col min="5" max="5" width="9.33203125" customWidth="1"/>
    <col min="6" max="6" width="21.33203125" customWidth="1"/>
    <col min="8" max="8" width="34.5546875" bestFit="1" customWidth="1"/>
    <col min="9" max="9" width="10.33203125" bestFit="1" customWidth="1"/>
    <col min="10" max="10" width="11.109375" bestFit="1" customWidth="1"/>
    <col min="11" max="11" width="15.44140625" bestFit="1" customWidth="1"/>
    <col min="12" max="12" width="18" bestFit="1" customWidth="1"/>
    <col min="14" max="14" width="10" bestFit="1" customWidth="1"/>
  </cols>
  <sheetData>
    <row r="1" spans="1:18" ht="59.4" customHeight="1" x14ac:dyDescent="0.55000000000000004">
      <c r="A1" s="14" t="s">
        <v>0</v>
      </c>
      <c r="B1" s="14"/>
      <c r="C1" s="14"/>
      <c r="D1" s="14"/>
      <c r="E1" s="14"/>
      <c r="F1" s="14"/>
      <c r="G1" s="14"/>
      <c r="H1" s="14"/>
      <c r="I1" s="14"/>
      <c r="J1" s="14"/>
      <c r="K1" s="14"/>
      <c r="L1" s="14"/>
      <c r="M1" s="14"/>
      <c r="N1" s="14"/>
      <c r="O1" s="14"/>
      <c r="P1" s="14"/>
      <c r="Q1" s="14"/>
      <c r="R1" s="14"/>
    </row>
    <row r="2" spans="1:18" ht="21" x14ac:dyDescent="0.4">
      <c r="B2" s="1" t="s">
        <v>1</v>
      </c>
      <c r="C2" s="1" t="s">
        <v>2</v>
      </c>
      <c r="D2" s="1" t="s">
        <v>3</v>
      </c>
      <c r="E2" s="1" t="s">
        <v>4</v>
      </c>
      <c r="F2" s="1" t="s">
        <v>5</v>
      </c>
      <c r="G2" s="1" t="s">
        <v>31</v>
      </c>
    </row>
    <row r="3" spans="1:18" x14ac:dyDescent="0.3">
      <c r="B3" s="2">
        <v>46023</v>
      </c>
      <c r="C3" s="4" t="s">
        <v>6</v>
      </c>
      <c r="D3" t="s">
        <v>13</v>
      </c>
      <c r="E3" s="4">
        <v>30</v>
      </c>
      <c r="F3" s="8" t="s">
        <v>28</v>
      </c>
      <c r="G3" s="7">
        <v>46023</v>
      </c>
    </row>
    <row r="4" spans="1:18" x14ac:dyDescent="0.3">
      <c r="B4" s="2">
        <v>46024</v>
      </c>
      <c r="C4" s="4" t="s">
        <v>7</v>
      </c>
      <c r="D4" t="s">
        <v>14</v>
      </c>
      <c r="E4" s="4">
        <v>30</v>
      </c>
      <c r="F4" s="9" t="s">
        <v>29</v>
      </c>
      <c r="G4" s="7">
        <v>46024</v>
      </c>
      <c r="J4" t="s">
        <v>32</v>
      </c>
      <c r="K4" t="s">
        <v>33</v>
      </c>
      <c r="L4" t="s">
        <v>34</v>
      </c>
      <c r="M4" t="s">
        <v>35</v>
      </c>
    </row>
    <row r="5" spans="1:18" x14ac:dyDescent="0.3">
      <c r="B5" s="2">
        <v>46025</v>
      </c>
      <c r="C5" s="4" t="s">
        <v>8</v>
      </c>
      <c r="D5" t="s">
        <v>15</v>
      </c>
      <c r="E5" s="4">
        <v>200</v>
      </c>
      <c r="F5" s="9" t="s">
        <v>29</v>
      </c>
      <c r="G5" s="7">
        <v>46025</v>
      </c>
      <c r="J5">
        <v>150</v>
      </c>
      <c r="K5">
        <v>200</v>
      </c>
      <c r="L5">
        <v>20</v>
      </c>
      <c r="M5">
        <v>12</v>
      </c>
    </row>
    <row r="6" spans="1:18" x14ac:dyDescent="0.3">
      <c r="B6" s="2">
        <v>46026</v>
      </c>
      <c r="C6" s="4" t="s">
        <v>6</v>
      </c>
      <c r="D6" t="s">
        <v>16</v>
      </c>
      <c r="E6" s="4">
        <v>900</v>
      </c>
      <c r="F6" s="6" t="s">
        <v>30</v>
      </c>
      <c r="G6" s="7">
        <v>46026</v>
      </c>
      <c r="J6">
        <v>200</v>
      </c>
      <c r="K6">
        <v>150</v>
      </c>
      <c r="L6">
        <v>15</v>
      </c>
      <c r="M6">
        <v>3</v>
      </c>
    </row>
    <row r="7" spans="1:18" x14ac:dyDescent="0.3">
      <c r="B7" s="2">
        <v>46027</v>
      </c>
      <c r="C7" s="4" t="s">
        <v>9</v>
      </c>
      <c r="D7" t="s">
        <v>17</v>
      </c>
      <c r="E7" s="4">
        <v>1500</v>
      </c>
      <c r="F7" s="9" t="s">
        <v>29</v>
      </c>
      <c r="G7" s="7">
        <v>46027</v>
      </c>
      <c r="J7">
        <f>J5+J6</f>
        <v>350</v>
      </c>
      <c r="K7">
        <f>K5-K6</f>
        <v>50</v>
      </c>
      <c r="L7">
        <f>L5*L6</f>
        <v>300</v>
      </c>
      <c r="M7">
        <f>M5/M6</f>
        <v>4</v>
      </c>
    </row>
    <row r="8" spans="1:18" x14ac:dyDescent="0.3">
      <c r="B8" s="2">
        <v>46028</v>
      </c>
      <c r="C8" s="4" t="s">
        <v>7</v>
      </c>
      <c r="D8" t="s">
        <v>18</v>
      </c>
      <c r="E8" s="4">
        <v>15</v>
      </c>
      <c r="F8" s="8" t="s">
        <v>28</v>
      </c>
      <c r="G8" s="7">
        <v>46028</v>
      </c>
      <c r="I8" s="2"/>
      <c r="J8">
        <f>SUM(J5,J6)</f>
        <v>350</v>
      </c>
    </row>
    <row r="9" spans="1:18" x14ac:dyDescent="0.3">
      <c r="B9" s="2">
        <v>46029</v>
      </c>
      <c r="C9" s="4" t="s">
        <v>10</v>
      </c>
      <c r="D9" t="s">
        <v>19</v>
      </c>
      <c r="E9" s="4">
        <v>60</v>
      </c>
      <c r="F9" s="8" t="s">
        <v>28</v>
      </c>
      <c r="G9" s="7">
        <v>46029</v>
      </c>
      <c r="I9" s="2"/>
      <c r="J9" s="4"/>
      <c r="L9" s="4"/>
    </row>
    <row r="10" spans="1:18" x14ac:dyDescent="0.3">
      <c r="B10" s="2">
        <v>46030</v>
      </c>
      <c r="C10" s="4" t="s">
        <v>11</v>
      </c>
      <c r="D10" t="s">
        <v>20</v>
      </c>
      <c r="E10" s="4">
        <v>2000</v>
      </c>
      <c r="F10" s="6" t="s">
        <v>30</v>
      </c>
      <c r="G10" s="7">
        <v>46030</v>
      </c>
      <c r="I10" s="2"/>
      <c r="J10" s="4"/>
      <c r="L10" s="4"/>
    </row>
    <row r="11" spans="1:18" x14ac:dyDescent="0.3">
      <c r="B11" s="2">
        <v>46031</v>
      </c>
      <c r="C11" s="4" t="s">
        <v>6</v>
      </c>
      <c r="D11" t="s">
        <v>21</v>
      </c>
      <c r="E11" s="4">
        <v>150</v>
      </c>
      <c r="F11" s="9" t="s">
        <v>29</v>
      </c>
      <c r="G11" s="7">
        <v>46031</v>
      </c>
    </row>
    <row r="12" spans="1:18" ht="23.4" x14ac:dyDescent="0.45">
      <c r="B12" s="2">
        <v>46032</v>
      </c>
      <c r="C12" s="4" t="s">
        <v>7</v>
      </c>
      <c r="D12" t="s">
        <v>22</v>
      </c>
      <c r="E12" s="4">
        <v>300</v>
      </c>
      <c r="F12" s="8" t="s">
        <v>28</v>
      </c>
      <c r="G12" s="7">
        <v>46032</v>
      </c>
      <c r="L12" s="10" t="s">
        <v>36</v>
      </c>
    </row>
    <row r="13" spans="1:18" x14ac:dyDescent="0.3">
      <c r="B13" s="2">
        <v>46033</v>
      </c>
      <c r="C13" s="4" t="s">
        <v>11</v>
      </c>
      <c r="D13" t="s">
        <v>23</v>
      </c>
      <c r="E13" s="4">
        <v>950</v>
      </c>
      <c r="F13" s="6" t="s">
        <v>30</v>
      </c>
      <c r="G13" s="7">
        <v>46033</v>
      </c>
      <c r="K13" t="s">
        <v>37</v>
      </c>
      <c r="L13" s="5" t="s">
        <v>6</v>
      </c>
      <c r="M13" s="3" t="s">
        <v>38</v>
      </c>
      <c r="N13" t="s">
        <v>39</v>
      </c>
      <c r="O13" t="s">
        <v>40</v>
      </c>
    </row>
    <row r="14" spans="1:18" x14ac:dyDescent="0.3">
      <c r="B14" s="2">
        <v>46034</v>
      </c>
      <c r="C14" s="4" t="s">
        <v>9</v>
      </c>
      <c r="D14" t="s">
        <v>24</v>
      </c>
      <c r="E14" s="4">
        <v>1100</v>
      </c>
      <c r="F14" s="9" t="s">
        <v>29</v>
      </c>
      <c r="G14" s="7">
        <v>46034</v>
      </c>
      <c r="K14" t="s">
        <v>41</v>
      </c>
      <c r="L14">
        <v>250</v>
      </c>
      <c r="M14">
        <v>3</v>
      </c>
      <c r="N14">
        <v>350</v>
      </c>
      <c r="O14">
        <f>((N14*M14)+L14)</f>
        <v>1300</v>
      </c>
    </row>
    <row r="15" spans="1:18" x14ac:dyDescent="0.3">
      <c r="B15" s="2">
        <v>46035</v>
      </c>
      <c r="C15" s="4" t="s">
        <v>12</v>
      </c>
      <c r="D15" t="s">
        <v>25</v>
      </c>
      <c r="E15" s="4">
        <v>1000</v>
      </c>
      <c r="F15" s="9" t="s">
        <v>29</v>
      </c>
      <c r="G15" s="7">
        <v>46035</v>
      </c>
    </row>
    <row r="16" spans="1:18" x14ac:dyDescent="0.3">
      <c r="B16" s="2">
        <v>46036</v>
      </c>
      <c r="C16" s="4" t="s">
        <v>7</v>
      </c>
      <c r="D16" t="s">
        <v>26</v>
      </c>
      <c r="E16" s="4">
        <v>60</v>
      </c>
      <c r="F16" s="9" t="s">
        <v>29</v>
      </c>
      <c r="G16" s="7">
        <v>46036</v>
      </c>
    </row>
    <row r="17" spans="2:7" x14ac:dyDescent="0.3">
      <c r="B17" s="2">
        <v>46037</v>
      </c>
      <c r="C17" s="4" t="s">
        <v>6</v>
      </c>
      <c r="D17" t="s">
        <v>27</v>
      </c>
      <c r="E17" s="4">
        <v>200</v>
      </c>
      <c r="F17" s="8" t="s">
        <v>28</v>
      </c>
      <c r="G17" s="7">
        <v>46037</v>
      </c>
    </row>
    <row r="18" spans="2:7" x14ac:dyDescent="0.3">
      <c r="B18" s="2"/>
      <c r="C18" s="4"/>
      <c r="E18" s="4"/>
      <c r="F18" s="6"/>
    </row>
    <row r="19" spans="2:7" x14ac:dyDescent="0.3">
      <c r="B19" s="2"/>
      <c r="C19" s="4"/>
      <c r="E19" s="4"/>
      <c r="F19" s="6"/>
    </row>
    <row r="20" spans="2:7" x14ac:dyDescent="0.3">
      <c r="B20" s="2"/>
      <c r="C20" s="4"/>
      <c r="E20" s="4"/>
      <c r="F20" s="6"/>
    </row>
    <row r="21" spans="2:7" x14ac:dyDescent="0.3">
      <c r="B21" s="2"/>
      <c r="C21" s="4"/>
      <c r="E21" s="4"/>
      <c r="F21" s="6"/>
    </row>
    <row r="25" spans="2:7" x14ac:dyDescent="0.3">
      <c r="B25" s="2"/>
      <c r="C25" s="4"/>
      <c r="E25" s="4"/>
      <c r="F25" s="6"/>
    </row>
    <row r="26" spans="2:7" x14ac:dyDescent="0.3">
      <c r="B26" s="2"/>
      <c r="C26" s="4"/>
      <c r="E26" s="4"/>
      <c r="F26" s="6"/>
    </row>
    <row r="27" spans="2:7" x14ac:dyDescent="0.3">
      <c r="B27" s="2"/>
      <c r="C27" s="4"/>
      <c r="E27" s="4"/>
      <c r="F27" s="6"/>
    </row>
    <row r="28" spans="2:7" x14ac:dyDescent="0.3">
      <c r="B28" s="2"/>
      <c r="C28" s="4"/>
      <c r="E28" s="4"/>
      <c r="F28" s="6"/>
    </row>
    <row r="29" spans="2:7" x14ac:dyDescent="0.3">
      <c r="B29" s="2"/>
      <c r="C29" s="4"/>
      <c r="E29" s="4"/>
      <c r="F29" s="6"/>
    </row>
    <row r="30" spans="2:7" x14ac:dyDescent="0.3">
      <c r="B30" s="2"/>
      <c r="C30" s="4"/>
      <c r="E30" s="4"/>
      <c r="F30" s="6"/>
    </row>
    <row r="31" spans="2:7" x14ac:dyDescent="0.3">
      <c r="B31" s="2"/>
      <c r="C31" s="4"/>
      <c r="E31" s="4"/>
      <c r="F31" s="6"/>
    </row>
    <row r="32" spans="2:7" x14ac:dyDescent="0.3">
      <c r="B32" s="2"/>
      <c r="C32" s="4"/>
      <c r="E32" s="4"/>
      <c r="F32" s="6"/>
    </row>
  </sheetData>
  <mergeCells count="1">
    <mergeCell ref="A1:R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C34F8-F749-4F6A-BA2A-D2F2B4C0E3E0}">
  <dimension ref="B1:G17"/>
  <sheetViews>
    <sheetView tabSelected="1" workbookViewId="0">
      <selection activeCell="K27" sqref="K27"/>
    </sheetView>
  </sheetViews>
  <sheetFormatPr defaultRowHeight="14.4" x14ac:dyDescent="0.3"/>
  <cols>
    <col min="2" max="2" width="10.33203125" bestFit="1" customWidth="1"/>
    <col min="3" max="3" width="14.5546875" bestFit="1" customWidth="1"/>
    <col min="4" max="4" width="20.44140625" bestFit="1" customWidth="1"/>
    <col min="5" max="5" width="9.88671875" bestFit="1" customWidth="1"/>
    <col min="6" max="6" width="22.109375" bestFit="1" customWidth="1"/>
    <col min="7" max="7" width="14.77734375" bestFit="1" customWidth="1"/>
  </cols>
  <sheetData>
    <row r="1" spans="2:7" ht="21" x14ac:dyDescent="0.4">
      <c r="B1" s="1" t="s">
        <v>1</v>
      </c>
      <c r="C1" s="1" t="s">
        <v>2</v>
      </c>
      <c r="D1" s="1" t="s">
        <v>3</v>
      </c>
      <c r="E1" s="1" t="s">
        <v>4</v>
      </c>
      <c r="F1" s="1" t="s">
        <v>5</v>
      </c>
      <c r="G1" s="1" t="s">
        <v>31</v>
      </c>
    </row>
    <row r="2" spans="2:7" x14ac:dyDescent="0.3">
      <c r="B2" s="2">
        <v>46023</v>
      </c>
      <c r="C2" s="4" t="s">
        <v>6</v>
      </c>
      <c r="D2" t="s">
        <v>13</v>
      </c>
      <c r="E2" s="4">
        <v>30</v>
      </c>
      <c r="F2" s="8" t="s">
        <v>28</v>
      </c>
      <c r="G2" s="7">
        <v>46023</v>
      </c>
    </row>
    <row r="3" spans="2:7" x14ac:dyDescent="0.3">
      <c r="B3" s="2">
        <v>46024</v>
      </c>
      <c r="C3" s="4" t="s">
        <v>7</v>
      </c>
      <c r="D3" t="s">
        <v>14</v>
      </c>
      <c r="E3" s="4">
        <v>30</v>
      </c>
      <c r="F3" s="9" t="s">
        <v>29</v>
      </c>
      <c r="G3" s="7">
        <v>46024</v>
      </c>
    </row>
    <row r="4" spans="2:7" x14ac:dyDescent="0.3">
      <c r="B4" s="2">
        <v>46025</v>
      </c>
      <c r="C4" s="4" t="s">
        <v>8</v>
      </c>
      <c r="D4" t="s">
        <v>15</v>
      </c>
      <c r="E4" s="4">
        <v>200</v>
      </c>
      <c r="F4" s="9" t="s">
        <v>29</v>
      </c>
      <c r="G4" s="7">
        <v>46025</v>
      </c>
    </row>
    <row r="5" spans="2:7" x14ac:dyDescent="0.3">
      <c r="B5" s="2">
        <v>46026</v>
      </c>
      <c r="C5" s="4" t="s">
        <v>6</v>
      </c>
      <c r="D5" t="s">
        <v>16</v>
      </c>
      <c r="E5" s="4">
        <v>900</v>
      </c>
      <c r="F5" s="6" t="s">
        <v>30</v>
      </c>
      <c r="G5" s="7">
        <v>46026</v>
      </c>
    </row>
    <row r="6" spans="2:7" x14ac:dyDescent="0.3">
      <c r="B6" s="2">
        <v>46027</v>
      </c>
      <c r="C6" s="4" t="s">
        <v>9</v>
      </c>
      <c r="D6" t="s">
        <v>17</v>
      </c>
      <c r="E6" s="4">
        <v>1500</v>
      </c>
      <c r="F6" s="9" t="s">
        <v>29</v>
      </c>
      <c r="G6" s="7">
        <v>46027</v>
      </c>
    </row>
    <row r="7" spans="2:7" x14ac:dyDescent="0.3">
      <c r="B7" s="2">
        <v>46028</v>
      </c>
      <c r="C7" s="4" t="s">
        <v>7</v>
      </c>
      <c r="D7" t="s">
        <v>18</v>
      </c>
      <c r="E7" s="4">
        <v>15</v>
      </c>
      <c r="F7" s="8" t="s">
        <v>28</v>
      </c>
      <c r="G7" s="7">
        <v>46028</v>
      </c>
    </row>
    <row r="8" spans="2:7" x14ac:dyDescent="0.3">
      <c r="B8" s="2">
        <v>46029</v>
      </c>
      <c r="C8" s="4" t="s">
        <v>10</v>
      </c>
      <c r="D8" t="s">
        <v>19</v>
      </c>
      <c r="E8" s="4">
        <v>60</v>
      </c>
      <c r="F8" s="8" t="s">
        <v>28</v>
      </c>
      <c r="G8" s="7">
        <v>46029</v>
      </c>
    </row>
    <row r="9" spans="2:7" x14ac:dyDescent="0.3">
      <c r="B9" s="2">
        <v>46030</v>
      </c>
      <c r="C9" s="4" t="s">
        <v>11</v>
      </c>
      <c r="D9" t="s">
        <v>20</v>
      </c>
      <c r="E9" s="4">
        <v>2000</v>
      </c>
      <c r="F9" s="6" t="s">
        <v>30</v>
      </c>
      <c r="G9" s="7">
        <v>46030</v>
      </c>
    </row>
    <row r="10" spans="2:7" x14ac:dyDescent="0.3">
      <c r="B10" s="2">
        <v>46031</v>
      </c>
      <c r="C10" s="4" t="s">
        <v>6</v>
      </c>
      <c r="D10" t="s">
        <v>21</v>
      </c>
      <c r="E10" s="4">
        <v>150</v>
      </c>
      <c r="F10" s="9" t="s">
        <v>29</v>
      </c>
      <c r="G10" s="7">
        <v>46031</v>
      </c>
    </row>
    <row r="11" spans="2:7" x14ac:dyDescent="0.3">
      <c r="B11" s="2">
        <v>46032</v>
      </c>
      <c r="C11" s="4" t="s">
        <v>7</v>
      </c>
      <c r="D11" t="s">
        <v>22</v>
      </c>
      <c r="E11" s="4">
        <v>300</v>
      </c>
      <c r="F11" s="8" t="s">
        <v>28</v>
      </c>
      <c r="G11" s="7">
        <v>46032</v>
      </c>
    </row>
    <row r="12" spans="2:7" x14ac:dyDescent="0.3">
      <c r="B12" s="2">
        <v>46033</v>
      </c>
      <c r="C12" s="4" t="s">
        <v>11</v>
      </c>
      <c r="D12" t="s">
        <v>23</v>
      </c>
      <c r="E12" s="4">
        <v>950</v>
      </c>
      <c r="F12" s="6" t="s">
        <v>30</v>
      </c>
      <c r="G12" s="7">
        <v>46033</v>
      </c>
    </row>
    <row r="13" spans="2:7" x14ac:dyDescent="0.3">
      <c r="B13" s="2">
        <v>46034</v>
      </c>
      <c r="C13" s="4" t="s">
        <v>9</v>
      </c>
      <c r="D13" t="s">
        <v>24</v>
      </c>
      <c r="E13" s="4">
        <v>1100</v>
      </c>
      <c r="F13" s="9" t="s">
        <v>29</v>
      </c>
      <c r="G13" s="7">
        <v>46034</v>
      </c>
    </row>
    <row r="14" spans="2:7" x14ac:dyDescent="0.3">
      <c r="B14" s="2">
        <v>46035</v>
      </c>
      <c r="C14" s="4" t="s">
        <v>12</v>
      </c>
      <c r="D14" t="s">
        <v>25</v>
      </c>
      <c r="E14" s="4">
        <v>1000</v>
      </c>
      <c r="F14" s="9" t="s">
        <v>29</v>
      </c>
      <c r="G14" s="7">
        <v>46035</v>
      </c>
    </row>
    <row r="15" spans="2:7" x14ac:dyDescent="0.3">
      <c r="B15" s="2">
        <v>46036</v>
      </c>
      <c r="C15" s="4" t="s">
        <v>7</v>
      </c>
      <c r="D15" t="s">
        <v>26</v>
      </c>
      <c r="E15" s="4">
        <v>60</v>
      </c>
      <c r="F15" s="9" t="s">
        <v>29</v>
      </c>
      <c r="G15" s="7">
        <v>46036</v>
      </c>
    </row>
    <row r="16" spans="2:7" x14ac:dyDescent="0.3">
      <c r="B16" s="2">
        <v>46037</v>
      </c>
      <c r="C16" s="4" t="s">
        <v>6</v>
      </c>
      <c r="D16" t="s">
        <v>27</v>
      </c>
      <c r="E16" s="4">
        <v>200</v>
      </c>
      <c r="F16" s="8" t="s">
        <v>28</v>
      </c>
      <c r="G16" s="7">
        <v>46037</v>
      </c>
    </row>
    <row r="17" spans="2:6" x14ac:dyDescent="0.3">
      <c r="B17" s="2"/>
      <c r="C17" s="4"/>
      <c r="E17" s="4"/>
      <c r="F17" s="6"/>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80E7F-8848-4770-BF54-C37326ADD367}">
  <dimension ref="A3:B40"/>
  <sheetViews>
    <sheetView topLeftCell="A9" zoomScale="150" zoomScaleNormal="150" workbookViewId="0">
      <selection activeCell="A4" sqref="A4"/>
    </sheetView>
  </sheetViews>
  <sheetFormatPr defaultRowHeight="14.4" x14ac:dyDescent="0.3"/>
  <cols>
    <col min="1" max="1" width="20.5546875" bestFit="1" customWidth="1"/>
    <col min="2" max="2" width="11.5546875" bestFit="1" customWidth="1"/>
  </cols>
  <sheetData>
    <row r="3" spans="1:2" x14ac:dyDescent="0.3">
      <c r="A3" s="15" t="s">
        <v>196</v>
      </c>
      <c r="B3" t="s">
        <v>197</v>
      </c>
    </row>
    <row r="4" spans="1:2" x14ac:dyDescent="0.3">
      <c r="A4" s="16" t="s">
        <v>30</v>
      </c>
      <c r="B4" s="17">
        <v>3850</v>
      </c>
    </row>
    <row r="5" spans="1:2" x14ac:dyDescent="0.3">
      <c r="A5" s="3" t="s">
        <v>23</v>
      </c>
      <c r="B5" s="17">
        <v>950</v>
      </c>
    </row>
    <row r="6" spans="1:2" x14ac:dyDescent="0.3">
      <c r="A6" s="4" t="s">
        <v>11</v>
      </c>
      <c r="B6" s="17">
        <v>950</v>
      </c>
    </row>
    <row r="7" spans="1:2" x14ac:dyDescent="0.3">
      <c r="A7" s="3" t="s">
        <v>20</v>
      </c>
      <c r="B7" s="17">
        <v>2000</v>
      </c>
    </row>
    <row r="8" spans="1:2" x14ac:dyDescent="0.3">
      <c r="A8" s="4" t="s">
        <v>11</v>
      </c>
      <c r="B8" s="17">
        <v>2000</v>
      </c>
    </row>
    <row r="9" spans="1:2" x14ac:dyDescent="0.3">
      <c r="A9" s="3" t="s">
        <v>16</v>
      </c>
      <c r="B9" s="17">
        <v>900</v>
      </c>
    </row>
    <row r="10" spans="1:2" x14ac:dyDescent="0.3">
      <c r="A10" s="4" t="s">
        <v>6</v>
      </c>
      <c r="B10" s="17">
        <v>900</v>
      </c>
    </row>
    <row r="11" spans="1:2" x14ac:dyDescent="0.3">
      <c r="A11" s="16" t="s">
        <v>28</v>
      </c>
      <c r="B11" s="17">
        <v>605</v>
      </c>
    </row>
    <row r="12" spans="1:2" x14ac:dyDescent="0.3">
      <c r="A12" s="3" t="s">
        <v>27</v>
      </c>
      <c r="B12" s="17">
        <v>200</v>
      </c>
    </row>
    <row r="13" spans="1:2" x14ac:dyDescent="0.3">
      <c r="A13" s="4" t="s">
        <v>6</v>
      </c>
      <c r="B13" s="17">
        <v>200</v>
      </c>
    </row>
    <row r="14" spans="1:2" x14ac:dyDescent="0.3">
      <c r="A14" s="3" t="s">
        <v>22</v>
      </c>
      <c r="B14" s="17">
        <v>300</v>
      </c>
    </row>
    <row r="15" spans="1:2" x14ac:dyDescent="0.3">
      <c r="A15" s="4" t="s">
        <v>7</v>
      </c>
      <c r="B15" s="17">
        <v>300</v>
      </c>
    </row>
    <row r="16" spans="1:2" x14ac:dyDescent="0.3">
      <c r="A16" s="3" t="s">
        <v>13</v>
      </c>
      <c r="B16" s="17">
        <v>30</v>
      </c>
    </row>
    <row r="17" spans="1:2" x14ac:dyDescent="0.3">
      <c r="A17" s="4" t="s">
        <v>6</v>
      </c>
      <c r="B17" s="17">
        <v>30</v>
      </c>
    </row>
    <row r="18" spans="1:2" x14ac:dyDescent="0.3">
      <c r="A18" s="3" t="s">
        <v>19</v>
      </c>
      <c r="B18" s="17">
        <v>60</v>
      </c>
    </row>
    <row r="19" spans="1:2" x14ac:dyDescent="0.3">
      <c r="A19" s="4" t="s">
        <v>10</v>
      </c>
      <c r="B19" s="17">
        <v>60</v>
      </c>
    </row>
    <row r="20" spans="1:2" x14ac:dyDescent="0.3">
      <c r="A20" s="3" t="s">
        <v>18</v>
      </c>
      <c r="B20" s="17">
        <v>15</v>
      </c>
    </row>
    <row r="21" spans="1:2" x14ac:dyDescent="0.3">
      <c r="A21" s="4" t="s">
        <v>7</v>
      </c>
      <c r="B21" s="17">
        <v>15</v>
      </c>
    </row>
    <row r="22" spans="1:2" x14ac:dyDescent="0.3">
      <c r="A22" s="16" t="s">
        <v>29</v>
      </c>
      <c r="B22" s="17">
        <v>4040</v>
      </c>
    </row>
    <row r="23" spans="1:2" x14ac:dyDescent="0.3">
      <c r="A23" s="3" t="s">
        <v>24</v>
      </c>
      <c r="B23" s="17">
        <v>1100</v>
      </c>
    </row>
    <row r="24" spans="1:2" x14ac:dyDescent="0.3">
      <c r="A24" s="4" t="s">
        <v>9</v>
      </c>
      <c r="B24" s="17">
        <v>1100</v>
      </c>
    </row>
    <row r="25" spans="1:2" x14ac:dyDescent="0.3">
      <c r="A25" s="3" t="s">
        <v>26</v>
      </c>
      <c r="B25" s="17">
        <v>60</v>
      </c>
    </row>
    <row r="26" spans="1:2" x14ac:dyDescent="0.3">
      <c r="A26" s="4" t="s">
        <v>7</v>
      </c>
      <c r="B26" s="17">
        <v>60</v>
      </c>
    </row>
    <row r="27" spans="1:2" x14ac:dyDescent="0.3">
      <c r="A27" s="3" t="s">
        <v>25</v>
      </c>
      <c r="B27" s="17">
        <v>1000</v>
      </c>
    </row>
    <row r="28" spans="1:2" x14ac:dyDescent="0.3">
      <c r="A28" s="4" t="s">
        <v>12</v>
      </c>
      <c r="B28" s="17">
        <v>1000</v>
      </c>
    </row>
    <row r="29" spans="1:2" x14ac:dyDescent="0.3">
      <c r="A29" s="3" t="s">
        <v>15</v>
      </c>
      <c r="B29" s="17">
        <v>200</v>
      </c>
    </row>
    <row r="30" spans="1:2" x14ac:dyDescent="0.3">
      <c r="A30" s="4" t="s">
        <v>8</v>
      </c>
      <c r="B30" s="17">
        <v>200</v>
      </c>
    </row>
    <row r="31" spans="1:2" x14ac:dyDescent="0.3">
      <c r="A31" s="3" t="s">
        <v>21</v>
      </c>
      <c r="B31" s="17">
        <v>150</v>
      </c>
    </row>
    <row r="32" spans="1:2" x14ac:dyDescent="0.3">
      <c r="A32" s="4" t="s">
        <v>6</v>
      </c>
      <c r="B32" s="17">
        <v>150</v>
      </c>
    </row>
    <row r="33" spans="1:2" x14ac:dyDescent="0.3">
      <c r="A33" s="3" t="s">
        <v>14</v>
      </c>
      <c r="B33" s="17">
        <v>30</v>
      </c>
    </row>
    <row r="34" spans="1:2" x14ac:dyDescent="0.3">
      <c r="A34" s="4" t="s">
        <v>7</v>
      </c>
      <c r="B34" s="17">
        <v>30</v>
      </c>
    </row>
    <row r="35" spans="1:2" x14ac:dyDescent="0.3">
      <c r="A35" s="3" t="s">
        <v>17</v>
      </c>
      <c r="B35" s="17">
        <v>1500</v>
      </c>
    </row>
    <row r="36" spans="1:2" x14ac:dyDescent="0.3">
      <c r="A36" s="4" t="s">
        <v>9</v>
      </c>
      <c r="B36" s="17">
        <v>1500</v>
      </c>
    </row>
    <row r="37" spans="1:2" x14ac:dyDescent="0.3">
      <c r="A37" s="16" t="s">
        <v>198</v>
      </c>
      <c r="B37" s="17"/>
    </row>
    <row r="38" spans="1:2" x14ac:dyDescent="0.3">
      <c r="A38" s="3" t="s">
        <v>198</v>
      </c>
      <c r="B38" s="17"/>
    </row>
    <row r="39" spans="1:2" x14ac:dyDescent="0.3">
      <c r="A39" s="4" t="s">
        <v>198</v>
      </c>
      <c r="B39" s="17"/>
    </row>
    <row r="40" spans="1:2" x14ac:dyDescent="0.3">
      <c r="A40" s="16" t="s">
        <v>199</v>
      </c>
      <c r="B40" s="17">
        <v>8495</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7A81A-1142-498A-90C3-38D244741A58}">
  <dimension ref="A1:J17"/>
  <sheetViews>
    <sheetView workbookViewId="0">
      <selection activeCell="J19" sqref="J19"/>
    </sheetView>
  </sheetViews>
  <sheetFormatPr defaultRowHeight="14.4" x14ac:dyDescent="0.3"/>
  <cols>
    <col min="1" max="1" width="7" bestFit="1" customWidth="1"/>
    <col min="2" max="2" width="10.33203125" bestFit="1" customWidth="1"/>
    <col min="3" max="3" width="14.5546875" bestFit="1" customWidth="1"/>
    <col min="4" max="4" width="20.44140625" bestFit="1" customWidth="1"/>
    <col min="5" max="5" width="9.88671875" bestFit="1" customWidth="1"/>
    <col min="6" max="6" width="22.109375" bestFit="1" customWidth="1"/>
    <col min="7" max="7" width="14.77734375" bestFit="1" customWidth="1"/>
    <col min="8" max="8" width="12.44140625" bestFit="1" customWidth="1"/>
    <col min="9" max="9" width="11.33203125" bestFit="1" customWidth="1"/>
  </cols>
  <sheetData>
    <row r="1" spans="1:10" ht="21" x14ac:dyDescent="0.4">
      <c r="A1" s="18"/>
      <c r="B1" s="1" t="s">
        <v>1</v>
      </c>
      <c r="C1" s="1" t="s">
        <v>2</v>
      </c>
      <c r="D1" s="1" t="s">
        <v>3</v>
      </c>
      <c r="E1" s="1" t="s">
        <v>4</v>
      </c>
      <c r="F1" s="1" t="s">
        <v>5</v>
      </c>
      <c r="G1" s="1" t="s">
        <v>31</v>
      </c>
      <c r="H1" s="1"/>
      <c r="I1" s="15" t="s">
        <v>196</v>
      </c>
      <c r="J1" t="s">
        <v>197</v>
      </c>
    </row>
    <row r="2" spans="1:10" x14ac:dyDescent="0.3">
      <c r="B2" s="2">
        <v>46023</v>
      </c>
      <c r="C2" s="4" t="s">
        <v>6</v>
      </c>
      <c r="D2" t="s">
        <v>13</v>
      </c>
      <c r="E2" s="4">
        <v>30</v>
      </c>
      <c r="F2" s="8" t="s">
        <v>28</v>
      </c>
      <c r="G2" s="7">
        <v>46023</v>
      </c>
      <c r="I2" s="16" t="s">
        <v>30</v>
      </c>
      <c r="J2" s="17">
        <v>3850</v>
      </c>
    </row>
    <row r="3" spans="1:10" x14ac:dyDescent="0.3">
      <c r="B3" s="2">
        <v>46024</v>
      </c>
      <c r="C3" s="4" t="s">
        <v>7</v>
      </c>
      <c r="D3" t="s">
        <v>14</v>
      </c>
      <c r="E3" s="4">
        <v>30</v>
      </c>
      <c r="F3" s="9" t="s">
        <v>29</v>
      </c>
      <c r="G3" s="7">
        <v>46024</v>
      </c>
      <c r="I3" s="3" t="s">
        <v>11</v>
      </c>
      <c r="J3" s="17">
        <v>2950</v>
      </c>
    </row>
    <row r="4" spans="1:10" x14ac:dyDescent="0.3">
      <c r="B4" s="2">
        <v>46025</v>
      </c>
      <c r="C4" s="4" t="s">
        <v>8</v>
      </c>
      <c r="D4" t="s">
        <v>15</v>
      </c>
      <c r="E4" s="4">
        <v>200</v>
      </c>
      <c r="F4" s="9" t="s">
        <v>29</v>
      </c>
      <c r="G4" s="7">
        <v>46025</v>
      </c>
      <c r="I4" s="3" t="s">
        <v>6</v>
      </c>
      <c r="J4" s="17">
        <v>900</v>
      </c>
    </row>
    <row r="5" spans="1:10" x14ac:dyDescent="0.3">
      <c r="B5" s="2">
        <v>46026</v>
      </c>
      <c r="C5" s="4" t="s">
        <v>6</v>
      </c>
      <c r="D5" t="s">
        <v>16</v>
      </c>
      <c r="E5" s="4">
        <v>900</v>
      </c>
      <c r="F5" s="6" t="s">
        <v>30</v>
      </c>
      <c r="G5" s="7">
        <v>46026</v>
      </c>
      <c r="I5" s="16" t="s">
        <v>28</v>
      </c>
      <c r="J5" s="17">
        <v>605</v>
      </c>
    </row>
    <row r="6" spans="1:10" x14ac:dyDescent="0.3">
      <c r="B6" s="2">
        <v>46027</v>
      </c>
      <c r="C6" s="4" t="s">
        <v>9</v>
      </c>
      <c r="D6" t="s">
        <v>17</v>
      </c>
      <c r="E6" s="4">
        <v>1500</v>
      </c>
      <c r="F6" s="9" t="s">
        <v>29</v>
      </c>
      <c r="G6" s="7">
        <v>46027</v>
      </c>
      <c r="I6" s="3" t="s">
        <v>10</v>
      </c>
      <c r="J6" s="17">
        <v>60</v>
      </c>
    </row>
    <row r="7" spans="1:10" x14ac:dyDescent="0.3">
      <c r="B7" s="2">
        <v>46028</v>
      </c>
      <c r="C7" s="4" t="s">
        <v>7</v>
      </c>
      <c r="D7" t="s">
        <v>18</v>
      </c>
      <c r="E7" s="4">
        <v>15</v>
      </c>
      <c r="F7" s="8" t="s">
        <v>28</v>
      </c>
      <c r="G7" s="7">
        <v>46028</v>
      </c>
      <c r="I7" s="3" t="s">
        <v>6</v>
      </c>
      <c r="J7" s="17">
        <v>230</v>
      </c>
    </row>
    <row r="8" spans="1:10" x14ac:dyDescent="0.3">
      <c r="B8" s="2">
        <v>46029</v>
      </c>
      <c r="C8" s="4" t="s">
        <v>10</v>
      </c>
      <c r="D8" t="s">
        <v>19</v>
      </c>
      <c r="E8" s="4">
        <v>60</v>
      </c>
      <c r="F8" s="8" t="s">
        <v>28</v>
      </c>
      <c r="G8" s="7">
        <v>46029</v>
      </c>
      <c r="I8" s="3" t="s">
        <v>7</v>
      </c>
      <c r="J8" s="17">
        <v>315</v>
      </c>
    </row>
    <row r="9" spans="1:10" x14ac:dyDescent="0.3">
      <c r="B9" s="2">
        <v>46030</v>
      </c>
      <c r="C9" s="4" t="s">
        <v>11</v>
      </c>
      <c r="D9" t="s">
        <v>20</v>
      </c>
      <c r="E9" s="4">
        <v>2000</v>
      </c>
      <c r="F9" s="6" t="s">
        <v>30</v>
      </c>
      <c r="G9" s="7">
        <v>46030</v>
      </c>
      <c r="I9" s="16" t="s">
        <v>29</v>
      </c>
      <c r="J9" s="17">
        <v>4040</v>
      </c>
    </row>
    <row r="10" spans="1:10" x14ac:dyDescent="0.3">
      <c r="B10" s="2">
        <v>46031</v>
      </c>
      <c r="C10" s="4" t="s">
        <v>6</v>
      </c>
      <c r="D10" t="s">
        <v>21</v>
      </c>
      <c r="E10" s="4">
        <v>150</v>
      </c>
      <c r="F10" s="9" t="s">
        <v>29</v>
      </c>
      <c r="G10" s="7">
        <v>46031</v>
      </c>
      <c r="I10" s="3" t="s">
        <v>6</v>
      </c>
      <c r="J10" s="17">
        <v>150</v>
      </c>
    </row>
    <row r="11" spans="1:10" x14ac:dyDescent="0.3">
      <c r="B11" s="2">
        <v>46032</v>
      </c>
      <c r="C11" s="4" t="s">
        <v>7</v>
      </c>
      <c r="D11" t="s">
        <v>22</v>
      </c>
      <c r="E11" s="4">
        <v>300</v>
      </c>
      <c r="F11" s="8" t="s">
        <v>28</v>
      </c>
      <c r="G11" s="7">
        <v>46032</v>
      </c>
      <c r="I11" s="3" t="s">
        <v>12</v>
      </c>
      <c r="J11" s="17">
        <v>1000</v>
      </c>
    </row>
    <row r="12" spans="1:10" x14ac:dyDescent="0.3">
      <c r="B12" s="2">
        <v>46033</v>
      </c>
      <c r="C12" s="4" t="s">
        <v>11</v>
      </c>
      <c r="D12" t="s">
        <v>23</v>
      </c>
      <c r="E12" s="4">
        <v>950</v>
      </c>
      <c r="F12" s="6" t="s">
        <v>30</v>
      </c>
      <c r="G12" s="7">
        <v>46033</v>
      </c>
      <c r="I12" s="3" t="s">
        <v>7</v>
      </c>
      <c r="J12" s="17">
        <v>90</v>
      </c>
    </row>
    <row r="13" spans="1:10" x14ac:dyDescent="0.3">
      <c r="B13" s="2">
        <v>46034</v>
      </c>
      <c r="C13" s="4" t="s">
        <v>9</v>
      </c>
      <c r="D13" t="s">
        <v>24</v>
      </c>
      <c r="E13" s="4">
        <v>1100</v>
      </c>
      <c r="F13" s="9" t="s">
        <v>29</v>
      </c>
      <c r="G13" s="7">
        <v>46034</v>
      </c>
      <c r="I13" s="3" t="s">
        <v>8</v>
      </c>
      <c r="J13" s="17">
        <v>200</v>
      </c>
    </row>
    <row r="14" spans="1:10" x14ac:dyDescent="0.3">
      <c r="B14" s="2">
        <v>46035</v>
      </c>
      <c r="C14" s="4" t="s">
        <v>12</v>
      </c>
      <c r="D14" t="s">
        <v>25</v>
      </c>
      <c r="E14" s="4">
        <v>1000</v>
      </c>
      <c r="F14" s="9" t="s">
        <v>29</v>
      </c>
      <c r="G14" s="7">
        <v>46035</v>
      </c>
      <c r="I14" s="3" t="s">
        <v>9</v>
      </c>
      <c r="J14" s="17">
        <v>2600</v>
      </c>
    </row>
    <row r="15" spans="1:10" x14ac:dyDescent="0.3">
      <c r="B15" s="2">
        <v>46036</v>
      </c>
      <c r="C15" s="4" t="s">
        <v>7</v>
      </c>
      <c r="D15" t="s">
        <v>26</v>
      </c>
      <c r="E15" s="4">
        <v>60</v>
      </c>
      <c r="F15" s="9" t="s">
        <v>29</v>
      </c>
      <c r="G15" s="7">
        <v>46036</v>
      </c>
      <c r="I15" s="16" t="s">
        <v>198</v>
      </c>
      <c r="J15" s="17"/>
    </row>
    <row r="16" spans="1:10" x14ac:dyDescent="0.3">
      <c r="B16" s="2">
        <v>46037</v>
      </c>
      <c r="C16" s="4" t="s">
        <v>6</v>
      </c>
      <c r="D16" t="s">
        <v>27</v>
      </c>
      <c r="E16" s="4">
        <v>200</v>
      </c>
      <c r="F16" s="8" t="s">
        <v>28</v>
      </c>
      <c r="G16" s="7">
        <v>46037</v>
      </c>
      <c r="I16" s="3" t="s">
        <v>198</v>
      </c>
      <c r="J16" s="17"/>
    </row>
    <row r="17" spans="2:10" x14ac:dyDescent="0.3">
      <c r="B17" s="2"/>
      <c r="C17" s="4"/>
      <c r="E17" s="4"/>
      <c r="F17" s="6"/>
      <c r="I17" s="16" t="s">
        <v>199</v>
      </c>
      <c r="J17" s="17">
        <v>8495</v>
      </c>
    </row>
  </sheetData>
  <phoneticPr fontId="5" type="noConversion"/>
  <pageMargins left="0.7" right="0.7" top="0.75" bottom="0.75" header="0.3" footer="0.3"/>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A2E75-2BE6-40FF-BC0C-9B4D8405D35C}">
  <sheetPr codeName="Sheet2"/>
  <dimension ref="B1:G17"/>
  <sheetViews>
    <sheetView workbookViewId="0">
      <selection activeCell="K11" sqref="K11"/>
    </sheetView>
  </sheetViews>
  <sheetFormatPr defaultRowHeight="14.4" x14ac:dyDescent="0.3"/>
  <cols>
    <col min="2" max="2" width="10.33203125" bestFit="1" customWidth="1"/>
    <col min="3" max="3" width="14.5546875" bestFit="1" customWidth="1"/>
    <col min="4" max="4" width="20.44140625" bestFit="1" customWidth="1"/>
    <col min="5" max="5" width="9.88671875" bestFit="1" customWidth="1"/>
    <col min="6" max="6" width="22.109375" bestFit="1" customWidth="1"/>
    <col min="7" max="7" width="14.77734375" bestFit="1" customWidth="1"/>
  </cols>
  <sheetData>
    <row r="1" spans="2:7" ht="21" x14ac:dyDescent="0.4">
      <c r="B1" s="1" t="s">
        <v>1</v>
      </c>
      <c r="C1" s="1" t="s">
        <v>2</v>
      </c>
      <c r="D1" s="1" t="s">
        <v>3</v>
      </c>
      <c r="E1" s="1" t="s">
        <v>4</v>
      </c>
      <c r="F1" s="1" t="s">
        <v>5</v>
      </c>
      <c r="G1" s="1" t="s">
        <v>31</v>
      </c>
    </row>
    <row r="2" spans="2:7" x14ac:dyDescent="0.3">
      <c r="B2" s="2">
        <v>46023</v>
      </c>
      <c r="C2" s="4" t="s">
        <v>6</v>
      </c>
      <c r="D2" t="s">
        <v>13</v>
      </c>
      <c r="E2" s="4">
        <v>30</v>
      </c>
      <c r="F2" s="8" t="s">
        <v>28</v>
      </c>
      <c r="G2" s="7">
        <v>46023</v>
      </c>
    </row>
    <row r="3" spans="2:7" x14ac:dyDescent="0.3">
      <c r="B3" s="2">
        <v>46024</v>
      </c>
      <c r="C3" s="4" t="s">
        <v>7</v>
      </c>
      <c r="D3" t="s">
        <v>14</v>
      </c>
      <c r="E3" s="4">
        <v>30</v>
      </c>
      <c r="F3" s="9" t="s">
        <v>29</v>
      </c>
      <c r="G3" s="7">
        <v>46024</v>
      </c>
    </row>
    <row r="4" spans="2:7" x14ac:dyDescent="0.3">
      <c r="B4" s="2">
        <v>46025</v>
      </c>
      <c r="C4" s="4" t="s">
        <v>8</v>
      </c>
      <c r="D4" t="s">
        <v>15</v>
      </c>
      <c r="E4" s="4">
        <v>200</v>
      </c>
      <c r="F4" s="9" t="s">
        <v>29</v>
      </c>
      <c r="G4" s="7">
        <v>46025</v>
      </c>
    </row>
    <row r="5" spans="2:7" x14ac:dyDescent="0.3">
      <c r="B5" s="2">
        <v>46026</v>
      </c>
      <c r="C5" s="4" t="s">
        <v>6</v>
      </c>
      <c r="D5" t="s">
        <v>16</v>
      </c>
      <c r="E5" s="4">
        <v>900</v>
      </c>
      <c r="F5" s="6" t="s">
        <v>30</v>
      </c>
      <c r="G5" s="7">
        <v>46026</v>
      </c>
    </row>
    <row r="6" spans="2:7" x14ac:dyDescent="0.3">
      <c r="B6" s="2">
        <v>46027</v>
      </c>
      <c r="C6" s="4" t="s">
        <v>9</v>
      </c>
      <c r="D6" t="s">
        <v>17</v>
      </c>
      <c r="E6" s="4">
        <v>1500</v>
      </c>
      <c r="F6" s="9" t="s">
        <v>29</v>
      </c>
      <c r="G6" s="7">
        <v>46027</v>
      </c>
    </row>
    <row r="7" spans="2:7" x14ac:dyDescent="0.3">
      <c r="B7" s="2">
        <v>46028</v>
      </c>
      <c r="C7" s="4" t="s">
        <v>7</v>
      </c>
      <c r="D7" t="s">
        <v>18</v>
      </c>
      <c r="E7" s="4">
        <v>15</v>
      </c>
      <c r="F7" s="8" t="s">
        <v>28</v>
      </c>
      <c r="G7" s="7">
        <v>46028</v>
      </c>
    </row>
    <row r="8" spans="2:7" x14ac:dyDescent="0.3">
      <c r="B8" s="2">
        <v>46029</v>
      </c>
      <c r="C8" s="4" t="s">
        <v>10</v>
      </c>
      <c r="D8" t="s">
        <v>19</v>
      </c>
      <c r="E8" s="4">
        <v>60</v>
      </c>
      <c r="F8" s="8" t="s">
        <v>28</v>
      </c>
      <c r="G8" s="7">
        <v>46029</v>
      </c>
    </row>
    <row r="9" spans="2:7" x14ac:dyDescent="0.3">
      <c r="B9" s="2">
        <v>46030</v>
      </c>
      <c r="C9" s="4" t="s">
        <v>11</v>
      </c>
      <c r="D9" t="s">
        <v>20</v>
      </c>
      <c r="E9" s="4">
        <v>2000</v>
      </c>
      <c r="F9" s="6" t="s">
        <v>30</v>
      </c>
      <c r="G9" s="7">
        <v>46030</v>
      </c>
    </row>
    <row r="10" spans="2:7" x14ac:dyDescent="0.3">
      <c r="B10" s="2">
        <v>46031</v>
      </c>
      <c r="C10" s="4" t="s">
        <v>6</v>
      </c>
      <c r="D10" t="s">
        <v>21</v>
      </c>
      <c r="E10" s="4">
        <v>150</v>
      </c>
      <c r="F10" s="9" t="s">
        <v>29</v>
      </c>
      <c r="G10" s="7">
        <v>46031</v>
      </c>
    </row>
    <row r="11" spans="2:7" x14ac:dyDescent="0.3">
      <c r="B11" s="2">
        <v>46032</v>
      </c>
      <c r="C11" s="4" t="s">
        <v>7</v>
      </c>
      <c r="D11" t="s">
        <v>22</v>
      </c>
      <c r="E11" s="4">
        <v>300</v>
      </c>
      <c r="F11" s="8" t="s">
        <v>28</v>
      </c>
      <c r="G11" s="7">
        <v>46032</v>
      </c>
    </row>
    <row r="12" spans="2:7" x14ac:dyDescent="0.3">
      <c r="B12" s="2">
        <v>46033</v>
      </c>
      <c r="C12" s="4" t="s">
        <v>11</v>
      </c>
      <c r="D12" t="s">
        <v>23</v>
      </c>
      <c r="E12" s="4">
        <v>950</v>
      </c>
      <c r="F12" s="6" t="s">
        <v>30</v>
      </c>
      <c r="G12" s="7">
        <v>46033</v>
      </c>
    </row>
    <row r="13" spans="2:7" x14ac:dyDescent="0.3">
      <c r="B13" s="2">
        <v>46034</v>
      </c>
      <c r="C13" s="4" t="s">
        <v>9</v>
      </c>
      <c r="D13" t="s">
        <v>24</v>
      </c>
      <c r="E13" s="4">
        <v>1100</v>
      </c>
      <c r="F13" s="9" t="s">
        <v>29</v>
      </c>
      <c r="G13" s="7">
        <v>46034</v>
      </c>
    </row>
    <row r="14" spans="2:7" x14ac:dyDescent="0.3">
      <c r="B14" s="2">
        <v>46035</v>
      </c>
      <c r="C14" s="4" t="s">
        <v>12</v>
      </c>
      <c r="D14" t="s">
        <v>25</v>
      </c>
      <c r="E14" s="4">
        <v>1000</v>
      </c>
      <c r="F14" s="9" t="s">
        <v>29</v>
      </c>
      <c r="G14" s="7">
        <v>46035</v>
      </c>
    </row>
    <row r="15" spans="2:7" x14ac:dyDescent="0.3">
      <c r="B15" s="2">
        <v>46036</v>
      </c>
      <c r="C15" s="4" t="s">
        <v>7</v>
      </c>
      <c r="D15" t="s">
        <v>26</v>
      </c>
      <c r="E15" s="4">
        <v>60</v>
      </c>
      <c r="F15" s="9" t="s">
        <v>29</v>
      </c>
      <c r="G15" s="7">
        <v>46036</v>
      </c>
    </row>
    <row r="16" spans="2:7" x14ac:dyDescent="0.3">
      <c r="B16" s="2">
        <v>46037</v>
      </c>
      <c r="C16" s="4" t="s">
        <v>6</v>
      </c>
      <c r="D16" t="s">
        <v>27</v>
      </c>
      <c r="E16" s="4">
        <v>200</v>
      </c>
      <c r="F16" s="8" t="s">
        <v>28</v>
      </c>
      <c r="G16" s="7">
        <v>46037</v>
      </c>
    </row>
    <row r="17" spans="2:6" x14ac:dyDescent="0.3">
      <c r="B17" s="2"/>
      <c r="C17" s="4"/>
      <c r="E17" s="4"/>
      <c r="F17" s="6"/>
    </row>
  </sheetData>
  <conditionalFormatting sqref="E2:E17">
    <cfRule type="dataBar" priority="1">
      <dataBar>
        <cfvo type="min"/>
        <cfvo type="max"/>
        <color rgb="FF63C384"/>
      </dataBar>
      <extLst>
        <ext xmlns:x14="http://schemas.microsoft.com/office/spreadsheetml/2009/9/main" uri="{B025F937-C7B1-47D3-B67F-A62EFF666E3E}">
          <x14:id>{53C83F9D-C100-4890-9CD7-BCD91B964FC3}</x14:id>
        </ext>
      </extLst>
    </cfRule>
    <cfRule type="dataBar" priority="2">
      <dataBar>
        <cfvo type="min"/>
        <cfvo type="max"/>
        <color rgb="FF63C384"/>
      </dataBar>
      <extLst>
        <ext xmlns:x14="http://schemas.microsoft.com/office/spreadsheetml/2009/9/main" uri="{B025F937-C7B1-47D3-B67F-A62EFF666E3E}">
          <x14:id>{AFF886A6-1472-4B21-A849-43E57D856BF0}</x14:id>
        </ext>
      </extLst>
    </cfRule>
    <cfRule type="dataBar" priority="3">
      <dataBar>
        <cfvo type="min"/>
        <cfvo type="max"/>
        <color rgb="FF63C384"/>
      </dataBar>
      <extLst>
        <ext xmlns:x14="http://schemas.microsoft.com/office/spreadsheetml/2009/9/main" uri="{B025F937-C7B1-47D3-B67F-A62EFF666E3E}">
          <x14:id>{65911E49-9BEF-4EBC-A637-56FE45858C63}</x14:id>
        </ext>
      </extLst>
    </cfRule>
    <cfRule type="dataBar" priority="4">
      <dataBar>
        <cfvo type="min"/>
        <cfvo type="max"/>
        <color rgb="FF63C384"/>
      </dataBar>
      <extLst>
        <ext xmlns:x14="http://schemas.microsoft.com/office/spreadsheetml/2009/9/main" uri="{B025F937-C7B1-47D3-B67F-A62EFF666E3E}">
          <x14:id>{8AF172DB-5E32-428B-BF8F-47C36783E3A3}</x14:id>
        </ext>
      </extLst>
    </cfRule>
    <cfRule type="dataBar" priority="5">
      <dataBar>
        <cfvo type="min"/>
        <cfvo type="max"/>
        <color rgb="FF63C384"/>
      </dataBar>
      <extLst>
        <ext xmlns:x14="http://schemas.microsoft.com/office/spreadsheetml/2009/9/main" uri="{B025F937-C7B1-47D3-B67F-A62EFF666E3E}">
          <x14:id>{F59BD240-9AE8-4412-B325-F87D7E90C740}</x14:id>
        </ext>
      </extLst>
    </cfRule>
    <cfRule type="dataBar" priority="6">
      <dataBar>
        <cfvo type="min"/>
        <cfvo type="max"/>
        <color rgb="FF63C384"/>
      </dataBar>
      <extLst>
        <ext xmlns:x14="http://schemas.microsoft.com/office/spreadsheetml/2009/9/main" uri="{B025F937-C7B1-47D3-B67F-A62EFF666E3E}">
          <x14:id>{8707AF2B-573F-4551-972B-465FA28C1E9F}</x14:id>
        </ext>
      </extLst>
    </cfRule>
    <cfRule type="dataBar" priority="7">
      <dataBar>
        <cfvo type="min"/>
        <cfvo type="max"/>
        <color rgb="FF63C384"/>
      </dataBar>
      <extLst>
        <ext xmlns:x14="http://schemas.microsoft.com/office/spreadsheetml/2009/9/main" uri="{B025F937-C7B1-47D3-B67F-A62EFF666E3E}">
          <x14:id>{3D2C0F5D-0BAE-4C4C-8EA6-FB10D11BAA69}</x14:id>
        </ext>
      </extLst>
    </cfRule>
    <cfRule type="dataBar" priority="8">
      <dataBar>
        <cfvo type="min"/>
        <cfvo type="max"/>
        <color rgb="FF63C384"/>
      </dataBar>
      <extLst>
        <ext xmlns:x14="http://schemas.microsoft.com/office/spreadsheetml/2009/9/main" uri="{B025F937-C7B1-47D3-B67F-A62EFF666E3E}">
          <x14:id>{20CED447-B4E3-438D-B8A8-BFFE4FC16631}</x14:id>
        </ext>
      </extLst>
    </cfRule>
    <cfRule type="dataBar" priority="9">
      <dataBar>
        <cfvo type="min"/>
        <cfvo type="max"/>
        <color rgb="FF63C384"/>
      </dataBar>
      <extLst>
        <ext xmlns:x14="http://schemas.microsoft.com/office/spreadsheetml/2009/9/main" uri="{B025F937-C7B1-47D3-B67F-A62EFF666E3E}">
          <x14:id>{CDB298F6-C556-4C35-B83F-A9BCD4DFC411}</x14:id>
        </ext>
      </extLst>
    </cfRule>
    <cfRule type="dataBar" priority="10">
      <dataBar>
        <cfvo type="min"/>
        <cfvo type="max"/>
        <color rgb="FF63C384"/>
      </dataBar>
      <extLst>
        <ext xmlns:x14="http://schemas.microsoft.com/office/spreadsheetml/2009/9/main" uri="{B025F937-C7B1-47D3-B67F-A62EFF666E3E}">
          <x14:id>{C9EA967D-00AE-475D-A82A-E4C35E4C0FA6}</x14:id>
        </ext>
      </extLst>
    </cfRule>
    <cfRule type="dataBar" priority="11">
      <dataBar>
        <cfvo type="min"/>
        <cfvo type="max"/>
        <color rgb="FF63C384"/>
      </dataBar>
      <extLst>
        <ext xmlns:x14="http://schemas.microsoft.com/office/spreadsheetml/2009/9/main" uri="{B025F937-C7B1-47D3-B67F-A62EFF666E3E}">
          <x14:id>{D5BD4AC2-5379-427B-AC47-D2CF84AAED2D}</x14:id>
        </ext>
      </extLst>
    </cfRule>
    <cfRule type="dataBar" priority="12">
      <dataBar>
        <cfvo type="min"/>
        <cfvo type="max"/>
        <color rgb="FF63C384"/>
      </dataBar>
      <extLst>
        <ext xmlns:x14="http://schemas.microsoft.com/office/spreadsheetml/2009/9/main" uri="{B025F937-C7B1-47D3-B67F-A62EFF666E3E}">
          <x14:id>{7EB1DB64-4A28-471E-8ABE-5C3C23543217}</x14:id>
        </ext>
      </extLst>
    </cfRule>
    <cfRule type="dataBar" priority="13">
      <dataBar>
        <cfvo type="min"/>
        <cfvo type="max"/>
        <color rgb="FF63C384"/>
      </dataBar>
      <extLst>
        <ext xmlns:x14="http://schemas.microsoft.com/office/spreadsheetml/2009/9/main" uri="{B025F937-C7B1-47D3-B67F-A62EFF666E3E}">
          <x14:id>{7AD6DF6A-88A7-4C3C-98BE-B45CADB48F4F}</x14:id>
        </ext>
      </extLst>
    </cfRule>
    <cfRule type="dataBar" priority="14">
      <dataBar>
        <cfvo type="min"/>
        <cfvo type="max"/>
        <color rgb="FF63C384"/>
      </dataBar>
      <extLst>
        <ext xmlns:x14="http://schemas.microsoft.com/office/spreadsheetml/2009/9/main" uri="{B025F937-C7B1-47D3-B67F-A62EFF666E3E}">
          <x14:id>{E01B2558-7099-45B1-9048-90AEC56CC85E}</x14:id>
        </ext>
      </extLst>
    </cfRule>
  </conditionalFormatting>
  <dataValidations count="1">
    <dataValidation type="list" allowBlank="1" showInputMessage="1" showErrorMessage="1" sqref="F2:F17" xr:uid="{35D0F179-9681-40AE-8269-227FB7984D8A}">
      <formula1>"UPI,Cash,Card"</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Button 2">
              <controlPr defaultSize="0" print="0" autoFill="0" autoPict="0" macro="[0]!data_formating">
                <anchor moveWithCells="1" sizeWithCells="1">
                  <from>
                    <xdr:col>9</xdr:col>
                    <xdr:colOff>0</xdr:colOff>
                    <xdr:row>1</xdr:row>
                    <xdr:rowOff>7620</xdr:rowOff>
                  </from>
                  <to>
                    <xdr:col>13</xdr:col>
                    <xdr:colOff>7620</xdr:colOff>
                    <xdr:row>5</xdr:row>
                    <xdr:rowOff>160020</xdr:rowOff>
                  </to>
                </anchor>
              </controlPr>
            </control>
          </mc:Choice>
        </mc:AlternateContent>
      </controls>
    </mc:Choice>
  </mc:AlternateContent>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53C83F9D-C100-4890-9CD7-BCD91B964FC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AFF886A6-1472-4B21-A849-43E57D856BF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5911E49-9BEF-4EBC-A637-56FE45858C6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AF172DB-5E32-428B-BF8F-47C36783E3A3}">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59BD240-9AE8-4412-B325-F87D7E90C740}">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8707AF2B-573F-4551-972B-465FA28C1E9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3D2C0F5D-0BAE-4C4C-8EA6-FB10D11BAA69}">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20CED447-B4E3-438D-B8A8-BFFE4FC1663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DB298F6-C556-4C35-B83F-A9BCD4DFC411}">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9EA967D-00AE-475D-A82A-E4C35E4C0FA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D5BD4AC2-5379-427B-AC47-D2CF84AAED2D}">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EB1DB64-4A28-471E-8ABE-5C3C2354321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7AD6DF6A-88A7-4C3C-98BE-B45CADB48F4F}">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E01B2558-7099-45B1-9048-90AEC56CC85E}">
            <x14:dataBar minLength="0" maxLength="100" border="1" negativeBarBorderColorSameAsPositive="0">
              <x14:cfvo type="autoMin"/>
              <x14:cfvo type="autoMax"/>
              <x14:borderColor rgb="FF63C384"/>
              <x14:negativeFillColor rgb="FFFF0000"/>
              <x14:negativeBorderColor rgb="FFFF0000"/>
              <x14:axisColor rgb="FF000000"/>
            </x14:dataBar>
          </x14:cfRule>
          <xm:sqref>E2:E17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BD2ED-8436-4C50-8EB1-DD098BFA116B}">
  <sheetPr codeName="Sheet3"/>
  <dimension ref="B1:J17"/>
  <sheetViews>
    <sheetView workbookViewId="0">
      <selection activeCell="K1" sqref="K1"/>
    </sheetView>
  </sheetViews>
  <sheetFormatPr defaultRowHeight="14.4" x14ac:dyDescent="0.3"/>
  <cols>
    <col min="2" max="2" width="10.33203125" bestFit="1" customWidth="1"/>
    <col min="3" max="3" width="14.5546875" bestFit="1" customWidth="1"/>
    <col min="4" max="4" width="20.44140625" bestFit="1" customWidth="1"/>
    <col min="5" max="5" width="9.88671875" bestFit="1" customWidth="1"/>
    <col min="6" max="6" width="22.109375" bestFit="1" customWidth="1"/>
    <col min="7" max="7" width="14.77734375" bestFit="1" customWidth="1"/>
  </cols>
  <sheetData>
    <row r="1" spans="2:10" ht="21" x14ac:dyDescent="0.4">
      <c r="B1" s="1" t="s">
        <v>1</v>
      </c>
      <c r="C1" s="1" t="s">
        <v>2</v>
      </c>
      <c r="D1" s="1" t="s">
        <v>3</v>
      </c>
      <c r="E1" s="1" t="s">
        <v>4</v>
      </c>
      <c r="F1" s="1" t="s">
        <v>5</v>
      </c>
      <c r="G1" s="1" t="s">
        <v>31</v>
      </c>
      <c r="J1">
        <v>10</v>
      </c>
    </row>
    <row r="2" spans="2:10" x14ac:dyDescent="0.3">
      <c r="B2" s="2">
        <v>46023</v>
      </c>
      <c r="C2" s="4" t="s">
        <v>6</v>
      </c>
      <c r="D2" t="s">
        <v>13</v>
      </c>
      <c r="E2" s="4">
        <v>30</v>
      </c>
      <c r="F2" s="8" t="s">
        <v>28</v>
      </c>
      <c r="G2" s="7">
        <v>46023</v>
      </c>
      <c r="J2">
        <v>20</v>
      </c>
    </row>
    <row r="3" spans="2:10" x14ac:dyDescent="0.3">
      <c r="B3" s="2">
        <v>46024</v>
      </c>
      <c r="C3" s="4" t="s">
        <v>7</v>
      </c>
      <c r="D3" t="s">
        <v>14</v>
      </c>
      <c r="E3" s="4">
        <v>30</v>
      </c>
      <c r="F3" s="9" t="s">
        <v>29</v>
      </c>
      <c r="G3" s="7">
        <v>46024</v>
      </c>
      <c r="J3">
        <v>30</v>
      </c>
    </row>
    <row r="4" spans="2:10" x14ac:dyDescent="0.3">
      <c r="B4" s="2">
        <v>46025</v>
      </c>
      <c r="C4" s="4" t="s">
        <v>8</v>
      </c>
      <c r="D4" t="s">
        <v>15</v>
      </c>
      <c r="E4" s="4">
        <v>200</v>
      </c>
      <c r="F4" s="9" t="s">
        <v>29</v>
      </c>
      <c r="G4" s="7">
        <v>46025</v>
      </c>
      <c r="J4">
        <v>40</v>
      </c>
    </row>
    <row r="5" spans="2:10" x14ac:dyDescent="0.3">
      <c r="B5" s="2">
        <v>46026</v>
      </c>
      <c r="C5" s="4" t="s">
        <v>6</v>
      </c>
      <c r="D5" t="s">
        <v>16</v>
      </c>
      <c r="E5" s="4">
        <v>900</v>
      </c>
      <c r="F5" s="6" t="s">
        <v>30</v>
      </c>
      <c r="G5" s="7">
        <v>46026</v>
      </c>
      <c r="J5">
        <v>110</v>
      </c>
    </row>
    <row r="6" spans="2:10" x14ac:dyDescent="0.3">
      <c r="B6" s="2">
        <v>46027</v>
      </c>
      <c r="C6" s="4" t="s">
        <v>9</v>
      </c>
      <c r="D6" t="s">
        <v>17</v>
      </c>
      <c r="E6" s="4">
        <v>1500</v>
      </c>
      <c r="F6" s="9" t="s">
        <v>29</v>
      </c>
      <c r="G6" s="7">
        <v>46027</v>
      </c>
      <c r="J6">
        <v>100</v>
      </c>
    </row>
    <row r="7" spans="2:10" x14ac:dyDescent="0.3">
      <c r="B7" s="2">
        <v>46028</v>
      </c>
      <c r="C7" s="4" t="s">
        <v>7</v>
      </c>
      <c r="D7" t="s">
        <v>18</v>
      </c>
      <c r="E7" s="4">
        <v>15</v>
      </c>
      <c r="F7" s="8" t="s">
        <v>28</v>
      </c>
      <c r="G7" s="7">
        <v>46028</v>
      </c>
      <c r="J7">
        <v>3</v>
      </c>
    </row>
    <row r="8" spans="2:10" x14ac:dyDescent="0.3">
      <c r="B8" s="2">
        <v>46029</v>
      </c>
      <c r="C8" s="4" t="s">
        <v>10</v>
      </c>
      <c r="D8" t="s">
        <v>19</v>
      </c>
      <c r="E8" s="4">
        <v>60</v>
      </c>
      <c r="F8" s="8" t="s">
        <v>28</v>
      </c>
      <c r="G8" s="7">
        <v>46029</v>
      </c>
      <c r="J8">
        <v>2</v>
      </c>
    </row>
    <row r="9" spans="2:10" x14ac:dyDescent="0.3">
      <c r="B9" s="2">
        <v>46030</v>
      </c>
      <c r="C9" s="4" t="s">
        <v>11</v>
      </c>
      <c r="D9" t="s">
        <v>20</v>
      </c>
      <c r="E9" s="4">
        <v>2000</v>
      </c>
      <c r="F9" s="6" t="s">
        <v>30</v>
      </c>
      <c r="G9" s="7">
        <v>46030</v>
      </c>
      <c r="J9">
        <v>15</v>
      </c>
    </row>
    <row r="10" spans="2:10" x14ac:dyDescent="0.3">
      <c r="B10" s="2">
        <v>46031</v>
      </c>
      <c r="C10" s="4" t="s">
        <v>6</v>
      </c>
      <c r="D10" t="s">
        <v>21</v>
      </c>
      <c r="E10" s="4">
        <v>150</v>
      </c>
      <c r="F10" s="9" t="s">
        <v>29</v>
      </c>
      <c r="G10" s="7">
        <v>46031</v>
      </c>
    </row>
    <row r="11" spans="2:10" x14ac:dyDescent="0.3">
      <c r="B11" s="2">
        <v>46032</v>
      </c>
      <c r="C11" s="4" t="s">
        <v>7</v>
      </c>
      <c r="D11" t="s">
        <v>22</v>
      </c>
      <c r="E11" s="4">
        <v>300</v>
      </c>
      <c r="F11" s="8" t="s">
        <v>28</v>
      </c>
      <c r="G11" s="7">
        <v>46032</v>
      </c>
    </row>
    <row r="12" spans="2:10" x14ac:dyDescent="0.3">
      <c r="B12" s="2">
        <v>46033</v>
      </c>
      <c r="C12" s="4" t="s">
        <v>11</v>
      </c>
      <c r="D12" t="s">
        <v>23</v>
      </c>
      <c r="E12" s="4">
        <v>950</v>
      </c>
      <c r="F12" s="6" t="s">
        <v>30</v>
      </c>
      <c r="G12" s="7">
        <v>46033</v>
      </c>
    </row>
    <row r="13" spans="2:10" x14ac:dyDescent="0.3">
      <c r="B13" s="2">
        <v>46034</v>
      </c>
      <c r="C13" s="4" t="s">
        <v>9</v>
      </c>
      <c r="D13" t="s">
        <v>24</v>
      </c>
      <c r="E13" s="4">
        <v>1100</v>
      </c>
      <c r="F13" s="9" t="s">
        <v>29</v>
      </c>
      <c r="G13" s="7">
        <v>46034</v>
      </c>
    </row>
    <row r="14" spans="2:10" x14ac:dyDescent="0.3">
      <c r="B14" s="2">
        <v>46035</v>
      </c>
      <c r="C14" s="4" t="s">
        <v>12</v>
      </c>
      <c r="D14" t="s">
        <v>25</v>
      </c>
      <c r="E14" s="4">
        <v>1000</v>
      </c>
      <c r="F14" s="9" t="s">
        <v>29</v>
      </c>
      <c r="G14" s="7">
        <v>46035</v>
      </c>
    </row>
    <row r="15" spans="2:10" x14ac:dyDescent="0.3">
      <c r="B15" s="2">
        <v>46036</v>
      </c>
      <c r="C15" s="4" t="s">
        <v>7</v>
      </c>
      <c r="D15" t="s">
        <v>26</v>
      </c>
      <c r="E15" s="4">
        <v>60</v>
      </c>
      <c r="F15" s="9" t="s">
        <v>29</v>
      </c>
      <c r="G15" s="7">
        <v>46036</v>
      </c>
    </row>
    <row r="16" spans="2:10" x14ac:dyDescent="0.3">
      <c r="B16" s="2">
        <v>46037</v>
      </c>
      <c r="C16" s="4" t="s">
        <v>6</v>
      </c>
      <c r="D16" t="s">
        <v>27</v>
      </c>
      <c r="E16" s="4">
        <v>200</v>
      </c>
      <c r="F16" s="8" t="s">
        <v>28</v>
      </c>
      <c r="G16" s="7">
        <v>46037</v>
      </c>
    </row>
    <row r="17" spans="2:6" x14ac:dyDescent="0.3">
      <c r="B17" s="2"/>
      <c r="C17" s="4"/>
      <c r="E17" s="4"/>
      <c r="F17" s="6"/>
    </row>
  </sheetData>
  <conditionalFormatting sqref="K12">
    <cfRule type="dataBar" priority="9">
      <dataBar>
        <cfvo type="min"/>
        <cfvo type="max"/>
        <color rgb="FF638EC6"/>
      </dataBar>
      <extLst>
        <ext xmlns:x14="http://schemas.microsoft.com/office/spreadsheetml/2009/9/main" uri="{B025F937-C7B1-47D3-B67F-A62EFF666E3E}">
          <x14:id>{7F957013-3B43-4E0C-8009-04D226170C9D}</x14:id>
        </ext>
      </extLst>
    </cfRule>
  </conditionalFormatting>
  <conditionalFormatting sqref="C2:C17">
    <cfRule type="dataBar" priority="8">
      <dataBar>
        <cfvo type="min"/>
        <cfvo type="max"/>
        <color rgb="FF63C384"/>
      </dataBar>
      <extLst>
        <ext xmlns:x14="http://schemas.microsoft.com/office/spreadsheetml/2009/9/main" uri="{B025F937-C7B1-47D3-B67F-A62EFF666E3E}">
          <x14:id>{A4F1AED8-2526-41C9-B502-21EE8EF6768F}</x14:id>
        </ext>
      </extLst>
    </cfRule>
  </conditionalFormatting>
  <conditionalFormatting sqref="C2">
    <cfRule type="dataBar" priority="7">
      <dataBar>
        <cfvo type="min"/>
        <cfvo type="max"/>
        <color rgb="FF63C384"/>
      </dataBar>
      <extLst>
        <ext xmlns:x14="http://schemas.microsoft.com/office/spreadsheetml/2009/9/main" uri="{B025F937-C7B1-47D3-B67F-A62EFF666E3E}">
          <x14:id>{902D29E2-5BED-4B61-B9CE-75E64FF7CE82}</x14:id>
        </ext>
      </extLst>
    </cfRule>
  </conditionalFormatting>
  <conditionalFormatting sqref="B2:B17">
    <cfRule type="top10" dxfId="6" priority="6" rank="3"/>
  </conditionalFormatting>
  <conditionalFormatting sqref="F2:F17">
    <cfRule type="dataBar" priority="4">
      <dataBar>
        <cfvo type="min"/>
        <cfvo type="max"/>
        <color rgb="FFD6007B"/>
      </dataBar>
      <extLst>
        <ext xmlns:x14="http://schemas.microsoft.com/office/spreadsheetml/2009/9/main" uri="{B025F937-C7B1-47D3-B67F-A62EFF666E3E}">
          <x14:id>{F99391CD-EB8C-464A-AC2F-389ACDC535A9}</x14:id>
        </ext>
      </extLst>
    </cfRule>
  </conditionalFormatting>
  <conditionalFormatting sqref="E1:E1048576">
    <cfRule type="dataBar" priority="3">
      <dataBar>
        <cfvo type="min"/>
        <cfvo type="max"/>
        <color rgb="FFFF555A"/>
      </dataBar>
      <extLst>
        <ext xmlns:x14="http://schemas.microsoft.com/office/spreadsheetml/2009/9/main" uri="{B025F937-C7B1-47D3-B67F-A62EFF666E3E}">
          <x14:id>{42EF53DB-EB01-4081-B4BB-B5B7737AE901}</x14:id>
        </ext>
      </extLst>
    </cfRule>
  </conditionalFormatting>
  <conditionalFormatting sqref="J1:J1048576">
    <cfRule type="colorScale" priority="1">
      <colorScale>
        <cfvo type="min"/>
        <cfvo type="percentile" val="50"/>
        <cfvo type="max"/>
        <color rgb="FFF8696B"/>
        <color rgb="FFFCFCFF"/>
        <color rgb="FF63BE7B"/>
      </colorScale>
    </cfRule>
    <cfRule type="iconSet" priority="2">
      <iconSet iconSet="3Arrows">
        <cfvo type="percent" val="0"/>
        <cfvo type="percent" val="33"/>
        <cfvo type="percent" val="67"/>
      </iconSe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F957013-3B43-4E0C-8009-04D226170C9D}">
            <x14:dataBar minLength="0" maxLength="100" border="1" negativeBarBorderColorSameAsPositive="0">
              <x14:cfvo type="autoMin"/>
              <x14:cfvo type="autoMax"/>
              <x14:borderColor rgb="FF638EC6"/>
              <x14:negativeFillColor rgb="FFFF0000"/>
              <x14:negativeBorderColor rgb="FFFF0000"/>
              <x14:axisColor rgb="FF000000"/>
            </x14:dataBar>
          </x14:cfRule>
          <xm:sqref>K12</xm:sqref>
        </x14:conditionalFormatting>
        <x14:conditionalFormatting xmlns:xm="http://schemas.microsoft.com/office/excel/2006/main">
          <x14:cfRule type="dataBar" id="{A4F1AED8-2526-41C9-B502-21EE8EF6768F}">
            <x14:dataBar minLength="0" maxLength="100" border="1" negativeBarBorderColorSameAsPositive="0">
              <x14:cfvo type="autoMin"/>
              <x14:cfvo type="autoMax"/>
              <x14:borderColor rgb="FF63C384"/>
              <x14:negativeFillColor rgb="FFFF0000"/>
              <x14:negativeBorderColor rgb="FFFF0000"/>
              <x14:axisColor rgb="FF000000"/>
            </x14:dataBar>
          </x14:cfRule>
          <xm:sqref>C2:C17</xm:sqref>
        </x14:conditionalFormatting>
        <x14:conditionalFormatting xmlns:xm="http://schemas.microsoft.com/office/excel/2006/main">
          <x14:cfRule type="dataBar" id="{902D29E2-5BED-4B61-B9CE-75E64FF7CE82}">
            <x14:dataBar minLength="0" maxLength="100" border="1" negativeBarBorderColorSameAsPositive="0">
              <x14:cfvo type="autoMin"/>
              <x14:cfvo type="autoMax"/>
              <x14:borderColor rgb="FF63C384"/>
              <x14:negativeFillColor rgb="FFFF0000"/>
              <x14:negativeBorderColor rgb="FFFF0000"/>
              <x14:axisColor rgb="FF000000"/>
            </x14:dataBar>
          </x14:cfRule>
          <xm:sqref>C2</xm:sqref>
        </x14:conditionalFormatting>
        <x14:conditionalFormatting xmlns:xm="http://schemas.microsoft.com/office/excel/2006/main">
          <x14:cfRule type="containsText" priority="5" operator="containsText" id="{D5091969-E584-4276-A473-07C4B556D9FB}">
            <xm:f>NOT(ISERROR(SEARCH($C$9,C1)))</xm:f>
            <xm:f>$C$9</xm:f>
            <x14:dxf>
              <font>
                <color rgb="FF006100"/>
              </font>
              <fill>
                <patternFill>
                  <bgColor rgb="FFC6EFCE"/>
                </patternFill>
              </fill>
            </x14:dxf>
          </x14:cfRule>
          <xm:sqref>C1:C1048576</xm:sqref>
        </x14:conditionalFormatting>
        <x14:conditionalFormatting xmlns:xm="http://schemas.microsoft.com/office/excel/2006/main">
          <x14:cfRule type="dataBar" id="{F99391CD-EB8C-464A-AC2F-389ACDC535A9}">
            <x14:dataBar minLength="0" maxLength="100" border="1" negativeBarBorderColorSameAsPositive="0">
              <x14:cfvo type="autoMin"/>
              <x14:cfvo type="autoMax"/>
              <x14:borderColor rgb="FFD6007B"/>
              <x14:negativeFillColor rgb="FFFF0000"/>
              <x14:negativeBorderColor rgb="FFFF0000"/>
              <x14:axisColor rgb="FF000000"/>
            </x14:dataBar>
          </x14:cfRule>
          <xm:sqref>F2:F17</xm:sqref>
        </x14:conditionalFormatting>
        <x14:conditionalFormatting xmlns:xm="http://schemas.microsoft.com/office/excel/2006/main">
          <x14:cfRule type="dataBar" id="{42EF53DB-EB01-4081-B4BB-B5B7737AE901}">
            <x14:dataBar minLength="0" maxLength="100" border="1" negativeBarBorderColorSameAsPositive="0">
              <x14:cfvo type="autoMin"/>
              <x14:cfvo type="autoMax"/>
              <x14:borderColor rgb="FFFF555A"/>
              <x14:negativeFillColor rgb="FFFF0000"/>
              <x14:negativeBorderColor rgb="FFFF0000"/>
              <x14:axisColor rgb="FF000000"/>
            </x14:dataBar>
          </x14:cfRule>
          <xm:sqref>E1:E1048576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3EF56-A8AD-44D0-BBA3-E211134EA680}">
  <sheetPr codeName="Sheet4"/>
  <dimension ref="B1:K18"/>
  <sheetViews>
    <sheetView workbookViewId="0">
      <selection activeCell="K6" sqref="K6"/>
    </sheetView>
  </sheetViews>
  <sheetFormatPr defaultRowHeight="14.4" x14ac:dyDescent="0.3"/>
  <cols>
    <col min="2" max="2" width="10.33203125" bestFit="1" customWidth="1"/>
    <col min="3" max="3" width="14.5546875" bestFit="1" customWidth="1"/>
    <col min="4" max="4" width="20.44140625" bestFit="1" customWidth="1"/>
    <col min="5" max="5" width="9.88671875" bestFit="1" customWidth="1"/>
    <col min="6" max="6" width="22.109375" bestFit="1" customWidth="1"/>
    <col min="7" max="7" width="14.77734375" bestFit="1" customWidth="1"/>
    <col min="8" max="8" width="10.88671875" bestFit="1" customWidth="1"/>
    <col min="9" max="9" width="21.21875" bestFit="1" customWidth="1"/>
    <col min="10" max="10" width="11.44140625" bestFit="1" customWidth="1"/>
    <col min="11" max="11" width="24" bestFit="1" customWidth="1"/>
  </cols>
  <sheetData>
    <row r="1" spans="2:11" ht="21" x14ac:dyDescent="0.4">
      <c r="B1" s="1" t="s">
        <v>1</v>
      </c>
      <c r="C1" s="1" t="s">
        <v>2</v>
      </c>
      <c r="D1" s="1" t="s">
        <v>3</v>
      </c>
      <c r="E1" s="1" t="s">
        <v>4</v>
      </c>
      <c r="F1" s="1" t="s">
        <v>5</v>
      </c>
      <c r="G1" s="1" t="s">
        <v>31</v>
      </c>
      <c r="H1" s="1" t="s">
        <v>95</v>
      </c>
      <c r="I1" s="1" t="s">
        <v>96</v>
      </c>
      <c r="J1" s="1" t="s">
        <v>98</v>
      </c>
      <c r="K1" s="1" t="s">
        <v>99</v>
      </c>
    </row>
    <row r="2" spans="2:11" x14ac:dyDescent="0.3">
      <c r="B2" s="2">
        <v>46023</v>
      </c>
      <c r="C2" s="4" t="s">
        <v>6</v>
      </c>
      <c r="D2" t="s">
        <v>13</v>
      </c>
      <c r="E2" s="4">
        <v>30</v>
      </c>
      <c r="F2" s="8" t="s">
        <v>28</v>
      </c>
      <c r="G2" s="7">
        <v>46023</v>
      </c>
      <c r="H2" s="2">
        <v>46027</v>
      </c>
      <c r="I2" t="s">
        <v>97</v>
      </c>
      <c r="J2">
        <v>23</v>
      </c>
      <c r="K2" t="s">
        <v>100</v>
      </c>
    </row>
    <row r="3" spans="2:11" x14ac:dyDescent="0.3">
      <c r="B3" s="2">
        <v>46024</v>
      </c>
      <c r="C3" s="4" t="s">
        <v>7</v>
      </c>
      <c r="D3" t="s">
        <v>14</v>
      </c>
      <c r="E3" s="4">
        <v>30</v>
      </c>
      <c r="F3" s="9" t="s">
        <v>29</v>
      </c>
      <c r="G3" s="7">
        <v>46024</v>
      </c>
      <c r="K3" t="s">
        <v>29</v>
      </c>
    </row>
    <row r="4" spans="2:11" x14ac:dyDescent="0.3">
      <c r="B4" s="2">
        <v>46025</v>
      </c>
      <c r="C4" s="4" t="s">
        <v>8</v>
      </c>
      <c r="D4" t="s">
        <v>15</v>
      </c>
      <c r="E4" s="4">
        <v>200</v>
      </c>
      <c r="F4" s="9" t="s">
        <v>29</v>
      </c>
      <c r="G4" s="7">
        <v>46025</v>
      </c>
      <c r="K4" t="s">
        <v>29</v>
      </c>
    </row>
    <row r="5" spans="2:11" x14ac:dyDescent="0.3">
      <c r="B5" s="2">
        <v>46026</v>
      </c>
      <c r="C5" s="4" t="s">
        <v>6</v>
      </c>
      <c r="D5" t="s">
        <v>16</v>
      </c>
      <c r="E5" s="4">
        <v>900</v>
      </c>
      <c r="F5" s="6" t="s">
        <v>30</v>
      </c>
      <c r="G5" s="7">
        <v>46026</v>
      </c>
      <c r="K5" t="s">
        <v>100</v>
      </c>
    </row>
    <row r="6" spans="2:11" x14ac:dyDescent="0.3">
      <c r="B6" s="2">
        <v>46027</v>
      </c>
      <c r="C6" s="4" t="s">
        <v>9</v>
      </c>
      <c r="D6" t="s">
        <v>17</v>
      </c>
      <c r="E6" s="4">
        <v>1500</v>
      </c>
      <c r="F6" s="9" t="s">
        <v>29</v>
      </c>
      <c r="G6" s="7">
        <v>46027</v>
      </c>
    </row>
    <row r="7" spans="2:11" x14ac:dyDescent="0.3">
      <c r="B7" s="2">
        <v>46028</v>
      </c>
      <c r="C7" s="4" t="s">
        <v>7</v>
      </c>
      <c r="D7" t="s">
        <v>18</v>
      </c>
      <c r="E7" s="4">
        <v>15</v>
      </c>
      <c r="F7" s="8" t="s">
        <v>28</v>
      </c>
      <c r="G7" s="7">
        <v>46028</v>
      </c>
    </row>
    <row r="8" spans="2:11" x14ac:dyDescent="0.3">
      <c r="B8" s="2">
        <v>46029</v>
      </c>
      <c r="C8" s="4" t="s">
        <v>10</v>
      </c>
      <c r="D8" t="s">
        <v>19</v>
      </c>
      <c r="E8" s="4">
        <v>60</v>
      </c>
      <c r="F8" s="8" t="s">
        <v>28</v>
      </c>
      <c r="G8" s="7">
        <v>46029</v>
      </c>
    </row>
    <row r="9" spans="2:11" x14ac:dyDescent="0.3">
      <c r="B9" s="2">
        <v>46030</v>
      </c>
      <c r="C9" s="4" t="s">
        <v>11</v>
      </c>
      <c r="D9" t="s">
        <v>20</v>
      </c>
      <c r="E9" s="4">
        <v>2000</v>
      </c>
      <c r="F9" s="6" t="s">
        <v>30</v>
      </c>
      <c r="G9" s="7">
        <v>46030</v>
      </c>
    </row>
    <row r="10" spans="2:11" x14ac:dyDescent="0.3">
      <c r="B10" s="2">
        <v>46031</v>
      </c>
      <c r="C10" s="4" t="s">
        <v>6</v>
      </c>
      <c r="D10" t="s">
        <v>21</v>
      </c>
      <c r="E10" s="4">
        <v>150</v>
      </c>
      <c r="F10" s="9" t="s">
        <v>29</v>
      </c>
      <c r="G10" s="7">
        <v>46031</v>
      </c>
    </row>
    <row r="11" spans="2:11" x14ac:dyDescent="0.3">
      <c r="B11" s="2">
        <v>46032</v>
      </c>
      <c r="C11" s="4" t="s">
        <v>7</v>
      </c>
      <c r="D11" t="s">
        <v>22</v>
      </c>
      <c r="E11" s="4">
        <v>300</v>
      </c>
      <c r="F11" s="8" t="s">
        <v>28</v>
      </c>
      <c r="G11" s="7">
        <v>46032</v>
      </c>
    </row>
    <row r="12" spans="2:11" x14ac:dyDescent="0.3">
      <c r="B12" s="2">
        <v>46033</v>
      </c>
      <c r="C12" s="4" t="s">
        <v>11</v>
      </c>
      <c r="D12" t="s">
        <v>23</v>
      </c>
      <c r="E12" s="4">
        <v>950</v>
      </c>
      <c r="F12" s="6" t="s">
        <v>30</v>
      </c>
      <c r="G12" s="7">
        <v>46033</v>
      </c>
    </row>
    <row r="13" spans="2:11" x14ac:dyDescent="0.3">
      <c r="B13" s="2">
        <v>46034</v>
      </c>
      <c r="C13" s="4" t="s">
        <v>9</v>
      </c>
      <c r="D13" t="s">
        <v>24</v>
      </c>
      <c r="E13" s="4">
        <v>1100</v>
      </c>
      <c r="F13" s="9" t="s">
        <v>29</v>
      </c>
      <c r="G13" s="7">
        <v>46034</v>
      </c>
    </row>
    <row r="14" spans="2:11" x14ac:dyDescent="0.3">
      <c r="B14" s="2">
        <v>46035</v>
      </c>
      <c r="C14" s="4" t="s">
        <v>12</v>
      </c>
      <c r="D14" t="s">
        <v>25</v>
      </c>
      <c r="E14" s="4">
        <v>1000</v>
      </c>
      <c r="F14" s="9" t="s">
        <v>29</v>
      </c>
      <c r="G14" s="7">
        <v>46035</v>
      </c>
    </row>
    <row r="15" spans="2:11" x14ac:dyDescent="0.3">
      <c r="B15" s="2">
        <v>46036</v>
      </c>
      <c r="C15" s="4" t="s">
        <v>7</v>
      </c>
      <c r="D15" t="s">
        <v>26</v>
      </c>
      <c r="E15" s="4">
        <v>60</v>
      </c>
      <c r="F15" s="9" t="s">
        <v>29</v>
      </c>
      <c r="G15" s="7">
        <v>46036</v>
      </c>
    </row>
    <row r="16" spans="2:11" x14ac:dyDescent="0.3">
      <c r="B16" s="2">
        <v>46037</v>
      </c>
      <c r="C16" s="4" t="s">
        <v>6</v>
      </c>
      <c r="D16" t="s">
        <v>27</v>
      </c>
      <c r="E16" s="4">
        <v>200</v>
      </c>
      <c r="F16" s="8" t="s">
        <v>28</v>
      </c>
      <c r="G16" s="7">
        <v>46037</v>
      </c>
    </row>
    <row r="17" spans="2:6" x14ac:dyDescent="0.3">
      <c r="B17" s="2"/>
      <c r="C17" s="4"/>
      <c r="E17" s="4"/>
      <c r="F17" s="6"/>
    </row>
    <row r="18" spans="2:6" x14ac:dyDescent="0.3">
      <c r="B18" s="2"/>
      <c r="C18" s="4"/>
      <c r="E18" s="4"/>
      <c r="F18" s="6"/>
    </row>
  </sheetData>
  <dataValidations count="4">
    <dataValidation type="date" allowBlank="1" showInputMessage="1" showErrorMessage="1" sqref="H2:H17" xr:uid="{40E0F4A1-CB17-487F-8473-A808AC0BE773}">
      <formula1>46023</formula1>
      <formula2>46053</formula2>
    </dataValidation>
    <dataValidation type="textLength" allowBlank="1" showInputMessage="1" showErrorMessage="1" sqref="I1:I1048576" xr:uid="{8922F415-6028-469C-830D-39AACF623323}">
      <formula1>1</formula1>
      <formula2>20</formula2>
    </dataValidation>
    <dataValidation type="whole" allowBlank="1" showInputMessage="1" showErrorMessage="1" sqref="J2:J17" xr:uid="{BA8BA7EB-6C4D-4762-BC88-2971021A5237}">
      <formula1>10</formula1>
      <formula2>50000</formula2>
    </dataValidation>
    <dataValidation type="list" allowBlank="1" showInputMessage="1" showErrorMessage="1" sqref="K2:K17" xr:uid="{EB413269-84B0-4BEF-AE61-13B0D3FFDBE5}">
      <formula1>"Cash,Card,UPI"</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551FE-06C8-46FB-B2D6-0E4F8FC41272}">
  <sheetPr codeName="Sheet5"/>
  <dimension ref="A1:O19"/>
  <sheetViews>
    <sheetView topLeftCell="D1" zoomScale="129" zoomScaleNormal="129" workbookViewId="0">
      <selection activeCell="G2" sqref="G2"/>
    </sheetView>
  </sheetViews>
  <sheetFormatPr defaultRowHeight="14.4" x14ac:dyDescent="0.3"/>
  <cols>
    <col min="1" max="1" width="5.5546875" bestFit="1" customWidth="1"/>
    <col min="2" max="2" width="9.88671875" bestFit="1" customWidth="1"/>
    <col min="4" max="4" width="23.21875" bestFit="1" customWidth="1"/>
    <col min="5" max="5" width="19.44140625" bestFit="1" customWidth="1"/>
    <col min="6" max="6" width="23.21875" bestFit="1" customWidth="1"/>
    <col min="7" max="7" width="19.44140625" bestFit="1" customWidth="1"/>
  </cols>
  <sheetData>
    <row r="1" spans="1:15" x14ac:dyDescent="0.3">
      <c r="A1" t="s">
        <v>42</v>
      </c>
      <c r="B1" t="s">
        <v>43</v>
      </c>
      <c r="C1" t="s">
        <v>44</v>
      </c>
      <c r="D1" t="s">
        <v>83</v>
      </c>
      <c r="E1" t="s">
        <v>84</v>
      </c>
      <c r="F1" t="s">
        <v>85</v>
      </c>
      <c r="G1" t="s">
        <v>86</v>
      </c>
      <c r="H1" t="s">
        <v>87</v>
      </c>
      <c r="I1" t="s">
        <v>88</v>
      </c>
      <c r="J1" t="s">
        <v>89</v>
      </c>
      <c r="K1" t="s">
        <v>90</v>
      </c>
      <c r="L1" t="s">
        <v>91</v>
      </c>
      <c r="M1" t="s">
        <v>92</v>
      </c>
      <c r="N1" t="s">
        <v>93</v>
      </c>
      <c r="O1" t="s">
        <v>94</v>
      </c>
    </row>
    <row r="2" spans="1:15" x14ac:dyDescent="0.3">
      <c r="A2" t="s">
        <v>45</v>
      </c>
      <c r="B2" t="s">
        <v>46</v>
      </c>
      <c r="C2" t="s">
        <v>47</v>
      </c>
      <c r="D2" t="str">
        <f>CONCATENATE(A2," ", B2," ",C2)</f>
        <v>MR. JON YANG</v>
      </c>
      <c r="E2" t="str">
        <f>LOWER(D2)</f>
        <v>mr. jon yang</v>
      </c>
      <c r="F2" t="str">
        <f>UPPER(B2)</f>
        <v>JON</v>
      </c>
      <c r="G2" t="str">
        <f>PROPER(F2)</f>
        <v>Jon</v>
      </c>
      <c r="H2">
        <f>LEN(G2)</f>
        <v>3</v>
      </c>
      <c r="I2" t="str">
        <f>LEFT(G2)</f>
        <v>J</v>
      </c>
      <c r="J2" t="str">
        <f>RIGHT(G2)</f>
        <v>n</v>
      </c>
      <c r="K2" t="str">
        <f>MID(G2,2,3)</f>
        <v>on</v>
      </c>
      <c r="L2">
        <f>FIND("o",G2)</f>
        <v>2</v>
      </c>
      <c r="M2">
        <f>SEARCH("o",F2)</f>
        <v>2</v>
      </c>
      <c r="N2" t="str">
        <f>REPLACE(G2,2,1,"a")</f>
        <v>Jan</v>
      </c>
    </row>
    <row r="3" spans="1:15" x14ac:dyDescent="0.3">
      <c r="A3" t="s">
        <v>45</v>
      </c>
      <c r="B3" t="s">
        <v>48</v>
      </c>
      <c r="C3" t="s">
        <v>49</v>
      </c>
      <c r="D3" t="str">
        <f t="shared" ref="D3:D19" si="0">CONCATENATE(A3," ", B3," ",C3)</f>
        <v>MR. EUGENE HUANG</v>
      </c>
      <c r="E3" t="str">
        <f t="shared" ref="E3:E19" si="1">LOWER(D3)</f>
        <v>mr. eugene huang</v>
      </c>
      <c r="F3" t="str">
        <f t="shared" ref="F3:F19" si="2">UPPER(B3)</f>
        <v>EUGENE</v>
      </c>
      <c r="G3" t="str">
        <f t="shared" ref="G3:G19" si="3">PROPER(F3)</f>
        <v>Eugene</v>
      </c>
      <c r="H3">
        <f t="shared" ref="H3:H19" si="4">LEN(G3)</f>
        <v>6</v>
      </c>
      <c r="I3" t="str">
        <f t="shared" ref="I3:I19" si="5">LEFT(G3)</f>
        <v>E</v>
      </c>
      <c r="J3" t="str">
        <f t="shared" ref="J3:J19" si="6">RIGHT(G3)</f>
        <v>e</v>
      </c>
      <c r="K3" t="str">
        <f t="shared" ref="K3:K19" si="7">MID(G3,2,3)</f>
        <v>uge</v>
      </c>
      <c r="O3" t="str">
        <f>SUBSTITUTE(G3,"e", "i", 1)</f>
        <v>Eugine</v>
      </c>
    </row>
    <row r="4" spans="1:15" x14ac:dyDescent="0.3">
      <c r="A4" t="s">
        <v>45</v>
      </c>
      <c r="B4" t="s">
        <v>50</v>
      </c>
      <c r="C4" t="s">
        <v>51</v>
      </c>
      <c r="D4" t="str">
        <f t="shared" si="0"/>
        <v>MR. RUBEN TORRES</v>
      </c>
      <c r="E4" t="str">
        <f t="shared" si="1"/>
        <v>mr. ruben torres</v>
      </c>
      <c r="F4" t="str">
        <f t="shared" si="2"/>
        <v>RUBEN</v>
      </c>
      <c r="G4" t="str">
        <f t="shared" si="3"/>
        <v>Ruben</v>
      </c>
      <c r="H4">
        <f t="shared" si="4"/>
        <v>5</v>
      </c>
      <c r="I4" t="str">
        <f t="shared" si="5"/>
        <v>R</v>
      </c>
      <c r="J4" t="str">
        <f t="shared" si="6"/>
        <v>n</v>
      </c>
      <c r="K4" t="str">
        <f t="shared" si="7"/>
        <v>ube</v>
      </c>
    </row>
    <row r="5" spans="1:15" x14ac:dyDescent="0.3">
      <c r="A5" t="s">
        <v>52</v>
      </c>
      <c r="B5" t="s">
        <v>53</v>
      </c>
      <c r="C5" t="s">
        <v>54</v>
      </c>
      <c r="D5" t="str">
        <f t="shared" si="0"/>
        <v>MS. CHRISTY ZHU</v>
      </c>
      <c r="E5" t="str">
        <f t="shared" si="1"/>
        <v>ms. christy zhu</v>
      </c>
      <c r="F5" t="str">
        <f t="shared" si="2"/>
        <v>CHRISTY</v>
      </c>
      <c r="G5" t="str">
        <f t="shared" si="3"/>
        <v>Christy</v>
      </c>
      <c r="H5">
        <f t="shared" si="4"/>
        <v>7</v>
      </c>
      <c r="I5" t="str">
        <f t="shared" si="5"/>
        <v>C</v>
      </c>
      <c r="J5" t="str">
        <f t="shared" si="6"/>
        <v>y</v>
      </c>
      <c r="K5" t="str">
        <f t="shared" si="7"/>
        <v>hri</v>
      </c>
    </row>
    <row r="6" spans="1:15" x14ac:dyDescent="0.3">
      <c r="A6" t="s">
        <v>55</v>
      </c>
      <c r="B6" t="s">
        <v>56</v>
      </c>
      <c r="C6" t="s">
        <v>57</v>
      </c>
      <c r="D6" t="str">
        <f t="shared" si="0"/>
        <v>MRS. ELIZABETH JOHNSON</v>
      </c>
      <c r="E6" t="str">
        <f t="shared" si="1"/>
        <v>mrs. elizabeth johnson</v>
      </c>
      <c r="F6" t="str">
        <f t="shared" si="2"/>
        <v>ELIZABETH</v>
      </c>
      <c r="G6" t="str">
        <f t="shared" si="3"/>
        <v>Elizabeth</v>
      </c>
      <c r="H6">
        <f t="shared" si="4"/>
        <v>9</v>
      </c>
      <c r="I6" t="str">
        <f t="shared" si="5"/>
        <v>E</v>
      </c>
      <c r="J6" t="str">
        <f t="shared" si="6"/>
        <v>h</v>
      </c>
      <c r="K6" t="str">
        <f t="shared" si="7"/>
        <v>liz</v>
      </c>
    </row>
    <row r="7" spans="1:15" x14ac:dyDescent="0.3">
      <c r="A7" t="s">
        <v>45</v>
      </c>
      <c r="B7" t="s">
        <v>58</v>
      </c>
      <c r="C7" t="s">
        <v>59</v>
      </c>
      <c r="D7" t="str">
        <f t="shared" si="0"/>
        <v>MR. JULIO RUIZ</v>
      </c>
      <c r="E7" t="str">
        <f t="shared" si="1"/>
        <v>mr. julio ruiz</v>
      </c>
      <c r="F7" t="str">
        <f t="shared" si="2"/>
        <v>JULIO</v>
      </c>
      <c r="G7" t="str">
        <f t="shared" si="3"/>
        <v>Julio</v>
      </c>
      <c r="H7">
        <f t="shared" si="4"/>
        <v>5</v>
      </c>
      <c r="I7" t="str">
        <f t="shared" si="5"/>
        <v>J</v>
      </c>
      <c r="J7" t="str">
        <f t="shared" si="6"/>
        <v>o</v>
      </c>
      <c r="K7" t="str">
        <f t="shared" si="7"/>
        <v>uli</v>
      </c>
    </row>
    <row r="8" spans="1:15" x14ac:dyDescent="0.3">
      <c r="A8" t="s">
        <v>45</v>
      </c>
      <c r="B8" t="s">
        <v>60</v>
      </c>
      <c r="C8" t="s">
        <v>61</v>
      </c>
      <c r="D8" t="str">
        <f t="shared" si="0"/>
        <v>MR. MARCO MEHTA</v>
      </c>
      <c r="E8" t="str">
        <f t="shared" si="1"/>
        <v>mr. marco mehta</v>
      </c>
      <c r="F8" t="str">
        <f t="shared" si="2"/>
        <v>MARCO</v>
      </c>
      <c r="G8" t="str">
        <f t="shared" si="3"/>
        <v>Marco</v>
      </c>
      <c r="H8">
        <f t="shared" si="4"/>
        <v>5</v>
      </c>
      <c r="I8" t="str">
        <f t="shared" si="5"/>
        <v>M</v>
      </c>
      <c r="J8" t="str">
        <f t="shared" si="6"/>
        <v>o</v>
      </c>
      <c r="K8" t="str">
        <f t="shared" si="7"/>
        <v>arc</v>
      </c>
    </row>
    <row r="9" spans="1:15" x14ac:dyDescent="0.3">
      <c r="A9" t="s">
        <v>55</v>
      </c>
      <c r="B9" t="s">
        <v>62</v>
      </c>
      <c r="C9" t="s">
        <v>63</v>
      </c>
      <c r="D9" t="str">
        <f t="shared" si="0"/>
        <v>MRS. ROBIN VERHOFF</v>
      </c>
      <c r="E9" t="str">
        <f t="shared" si="1"/>
        <v>mrs. robin verhoff</v>
      </c>
      <c r="F9" t="str">
        <f t="shared" si="2"/>
        <v>ROBIN</v>
      </c>
      <c r="G9" t="str">
        <f t="shared" si="3"/>
        <v>Robin</v>
      </c>
      <c r="H9">
        <f t="shared" si="4"/>
        <v>5</v>
      </c>
      <c r="I9" t="str">
        <f t="shared" si="5"/>
        <v>R</v>
      </c>
      <c r="J9" t="str">
        <f t="shared" si="6"/>
        <v>n</v>
      </c>
      <c r="K9" t="str">
        <f t="shared" si="7"/>
        <v>obi</v>
      </c>
    </row>
    <row r="10" spans="1:15" x14ac:dyDescent="0.3">
      <c r="A10" t="s">
        <v>45</v>
      </c>
      <c r="B10" t="s">
        <v>64</v>
      </c>
      <c r="C10" t="s">
        <v>65</v>
      </c>
      <c r="D10" t="str">
        <f t="shared" si="0"/>
        <v>MR. SHANNON CARLSON</v>
      </c>
      <c r="E10" t="str">
        <f t="shared" si="1"/>
        <v>mr. shannon carlson</v>
      </c>
      <c r="F10" t="str">
        <f t="shared" si="2"/>
        <v>SHANNON</v>
      </c>
      <c r="G10" t="str">
        <f t="shared" si="3"/>
        <v>Shannon</v>
      </c>
      <c r="H10">
        <f t="shared" si="4"/>
        <v>7</v>
      </c>
      <c r="I10" t="str">
        <f t="shared" si="5"/>
        <v>S</v>
      </c>
      <c r="J10" t="str">
        <f t="shared" si="6"/>
        <v>n</v>
      </c>
      <c r="K10" t="str">
        <f t="shared" si="7"/>
        <v>han</v>
      </c>
    </row>
    <row r="11" spans="1:15" x14ac:dyDescent="0.3">
      <c r="A11" t="s">
        <v>52</v>
      </c>
      <c r="B11" t="s">
        <v>66</v>
      </c>
      <c r="C11" t="s">
        <v>67</v>
      </c>
      <c r="D11" t="str">
        <f t="shared" si="0"/>
        <v>MS. JACQUELY SUAREZ</v>
      </c>
      <c r="E11" t="str">
        <f t="shared" si="1"/>
        <v>ms. jacquely suarez</v>
      </c>
      <c r="F11" t="str">
        <f t="shared" si="2"/>
        <v>JACQUELY</v>
      </c>
      <c r="G11" t="str">
        <f t="shared" si="3"/>
        <v>Jacquely</v>
      </c>
      <c r="H11">
        <f t="shared" si="4"/>
        <v>8</v>
      </c>
      <c r="I11" t="str">
        <f t="shared" si="5"/>
        <v>J</v>
      </c>
      <c r="J11" t="str">
        <f t="shared" si="6"/>
        <v>y</v>
      </c>
      <c r="K11" t="str">
        <f t="shared" si="7"/>
        <v>acq</v>
      </c>
    </row>
    <row r="12" spans="1:15" x14ac:dyDescent="0.3">
      <c r="A12" t="s">
        <v>45</v>
      </c>
      <c r="B12" t="s">
        <v>68</v>
      </c>
      <c r="C12" t="s">
        <v>69</v>
      </c>
      <c r="D12" t="str">
        <f t="shared" si="0"/>
        <v>MR. CURTIS LU</v>
      </c>
      <c r="E12" t="str">
        <f t="shared" si="1"/>
        <v>mr. curtis lu</v>
      </c>
      <c r="F12" t="str">
        <f t="shared" si="2"/>
        <v>CURTIS</v>
      </c>
      <c r="G12" t="str">
        <f t="shared" si="3"/>
        <v>Curtis</v>
      </c>
      <c r="H12">
        <f t="shared" si="4"/>
        <v>6</v>
      </c>
      <c r="I12" t="str">
        <f t="shared" si="5"/>
        <v>C</v>
      </c>
      <c r="J12" t="str">
        <f t="shared" si="6"/>
        <v>s</v>
      </c>
      <c r="K12" t="str">
        <f t="shared" si="7"/>
        <v>urt</v>
      </c>
    </row>
    <row r="13" spans="1:15" x14ac:dyDescent="0.3">
      <c r="A13" t="s">
        <v>55</v>
      </c>
      <c r="B13" t="s">
        <v>70</v>
      </c>
      <c r="C13" t="s">
        <v>71</v>
      </c>
      <c r="D13" t="str">
        <f t="shared" si="0"/>
        <v>MRS. LAUREN WALKER</v>
      </c>
      <c r="E13" t="str">
        <f t="shared" si="1"/>
        <v>mrs. lauren walker</v>
      </c>
      <c r="F13" t="str">
        <f t="shared" si="2"/>
        <v>LAUREN</v>
      </c>
      <c r="G13" t="str">
        <f t="shared" si="3"/>
        <v>Lauren</v>
      </c>
      <c r="H13">
        <f t="shared" si="4"/>
        <v>6</v>
      </c>
      <c r="I13" t="str">
        <f t="shared" si="5"/>
        <v>L</v>
      </c>
      <c r="J13" t="str">
        <f t="shared" si="6"/>
        <v>n</v>
      </c>
      <c r="K13" t="str">
        <f t="shared" si="7"/>
        <v>aur</v>
      </c>
    </row>
    <row r="14" spans="1:15" x14ac:dyDescent="0.3">
      <c r="A14" t="s">
        <v>45</v>
      </c>
      <c r="B14" t="s">
        <v>72</v>
      </c>
      <c r="C14" t="s">
        <v>73</v>
      </c>
      <c r="D14" t="str">
        <f t="shared" si="0"/>
        <v>MR. IAN JENKINS</v>
      </c>
      <c r="E14" t="str">
        <f t="shared" si="1"/>
        <v>mr. ian jenkins</v>
      </c>
      <c r="F14" t="str">
        <f t="shared" si="2"/>
        <v>IAN</v>
      </c>
      <c r="G14" t="str">
        <f t="shared" si="3"/>
        <v>Ian</v>
      </c>
      <c r="H14">
        <f t="shared" si="4"/>
        <v>3</v>
      </c>
      <c r="I14" t="str">
        <f t="shared" si="5"/>
        <v>I</v>
      </c>
      <c r="J14" t="str">
        <f t="shared" si="6"/>
        <v>n</v>
      </c>
      <c r="K14" t="str">
        <f t="shared" si="7"/>
        <v>an</v>
      </c>
    </row>
    <row r="15" spans="1:15" x14ac:dyDescent="0.3">
      <c r="A15" t="s">
        <v>55</v>
      </c>
      <c r="B15" t="s">
        <v>74</v>
      </c>
      <c r="C15" t="s">
        <v>75</v>
      </c>
      <c r="D15" t="str">
        <f t="shared" si="0"/>
        <v>MRS. SYDNEY BENNETT</v>
      </c>
      <c r="E15" t="str">
        <f t="shared" si="1"/>
        <v>mrs. sydney bennett</v>
      </c>
      <c r="F15" t="str">
        <f t="shared" si="2"/>
        <v>SYDNEY</v>
      </c>
      <c r="G15" t="str">
        <f t="shared" si="3"/>
        <v>Sydney</v>
      </c>
      <c r="H15">
        <f t="shared" si="4"/>
        <v>6</v>
      </c>
      <c r="I15" t="str">
        <f t="shared" si="5"/>
        <v>S</v>
      </c>
      <c r="J15" t="str">
        <f t="shared" si="6"/>
        <v>y</v>
      </c>
      <c r="K15" t="str">
        <f t="shared" si="7"/>
        <v>ydn</v>
      </c>
    </row>
    <row r="16" spans="1:15" x14ac:dyDescent="0.3">
      <c r="A16" t="s">
        <v>52</v>
      </c>
      <c r="B16" t="s">
        <v>76</v>
      </c>
      <c r="C16" t="s">
        <v>77</v>
      </c>
      <c r="D16" t="str">
        <f t="shared" si="0"/>
        <v>MS. CHLOE YOUNG</v>
      </c>
      <c r="E16" t="str">
        <f t="shared" si="1"/>
        <v>ms. chloe young</v>
      </c>
      <c r="F16" t="str">
        <f t="shared" si="2"/>
        <v>CHLOE</v>
      </c>
      <c r="G16" t="str">
        <f t="shared" si="3"/>
        <v>Chloe</v>
      </c>
      <c r="H16">
        <f t="shared" si="4"/>
        <v>5</v>
      </c>
      <c r="I16" t="str">
        <f t="shared" si="5"/>
        <v>C</v>
      </c>
      <c r="J16" t="str">
        <f t="shared" si="6"/>
        <v>e</v>
      </c>
      <c r="K16" t="str">
        <f t="shared" si="7"/>
        <v>hlo</v>
      </c>
    </row>
    <row r="17" spans="1:11" x14ac:dyDescent="0.3">
      <c r="A17" t="s">
        <v>45</v>
      </c>
      <c r="B17" t="s">
        <v>78</v>
      </c>
      <c r="C17" t="s">
        <v>79</v>
      </c>
      <c r="D17" t="str">
        <f t="shared" si="0"/>
        <v>MR. WYATT HILL</v>
      </c>
      <c r="E17" t="str">
        <f t="shared" si="1"/>
        <v>mr. wyatt hill</v>
      </c>
      <c r="F17" t="str">
        <f t="shared" si="2"/>
        <v>WYATT</v>
      </c>
      <c r="G17" t="str">
        <f t="shared" si="3"/>
        <v>Wyatt</v>
      </c>
      <c r="H17">
        <f t="shared" si="4"/>
        <v>5</v>
      </c>
      <c r="I17" t="str">
        <f t="shared" si="5"/>
        <v>W</v>
      </c>
      <c r="J17" t="str">
        <f t="shared" si="6"/>
        <v>t</v>
      </c>
      <c r="K17" t="str">
        <f t="shared" si="7"/>
        <v>yat</v>
      </c>
    </row>
    <row r="18" spans="1:11" x14ac:dyDescent="0.3">
      <c r="A18" t="s">
        <v>55</v>
      </c>
      <c r="B18" t="s">
        <v>64</v>
      </c>
      <c r="C18" t="s">
        <v>80</v>
      </c>
      <c r="D18" t="str">
        <f t="shared" si="0"/>
        <v>MRS. SHANNON WANG</v>
      </c>
      <c r="E18" t="str">
        <f t="shared" si="1"/>
        <v>mrs. shannon wang</v>
      </c>
      <c r="F18" t="str">
        <f t="shared" si="2"/>
        <v>SHANNON</v>
      </c>
      <c r="G18" t="str">
        <f t="shared" si="3"/>
        <v>Shannon</v>
      </c>
      <c r="H18">
        <f t="shared" si="4"/>
        <v>7</v>
      </c>
      <c r="I18" t="str">
        <f t="shared" si="5"/>
        <v>S</v>
      </c>
      <c r="J18" t="str">
        <f t="shared" si="6"/>
        <v>n</v>
      </c>
      <c r="K18" t="str">
        <f t="shared" si="7"/>
        <v>han</v>
      </c>
    </row>
    <row r="19" spans="1:11" x14ac:dyDescent="0.3">
      <c r="A19" t="s">
        <v>45</v>
      </c>
      <c r="B19" t="s">
        <v>81</v>
      </c>
      <c r="C19" t="s">
        <v>82</v>
      </c>
      <c r="D19" t="str">
        <f t="shared" si="0"/>
        <v>MR. CLARENCE RAI</v>
      </c>
      <c r="E19" t="str">
        <f t="shared" si="1"/>
        <v>mr. clarence rai</v>
      </c>
      <c r="F19" t="str">
        <f t="shared" si="2"/>
        <v>CLARENCE</v>
      </c>
      <c r="G19" t="str">
        <f t="shared" si="3"/>
        <v>Clarence</v>
      </c>
      <c r="H19">
        <f t="shared" si="4"/>
        <v>8</v>
      </c>
      <c r="I19" t="str">
        <f t="shared" si="5"/>
        <v>C</v>
      </c>
      <c r="J19" t="str">
        <f t="shared" si="6"/>
        <v>e</v>
      </c>
      <c r="K19" t="str">
        <f t="shared" si="7"/>
        <v>lar</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D01EA-4D48-4D74-B9A3-258A2F191DA8}">
  <sheetPr codeName="Sheet6"/>
  <dimension ref="A1:G31"/>
  <sheetViews>
    <sheetView topLeftCell="A4" workbookViewId="0">
      <selection sqref="A1:D31"/>
    </sheetView>
  </sheetViews>
  <sheetFormatPr defaultRowHeight="14.4" x14ac:dyDescent="0.3"/>
  <cols>
    <col min="1" max="1" width="7" bestFit="1" customWidth="1"/>
    <col min="2" max="2" width="14.44140625" bestFit="1" customWidth="1"/>
    <col min="3" max="3" width="23.6640625" bestFit="1" customWidth="1"/>
    <col min="4" max="4" width="11.77734375" bestFit="1" customWidth="1"/>
  </cols>
  <sheetData>
    <row r="1" spans="1:7" x14ac:dyDescent="0.3">
      <c r="A1" t="s">
        <v>101</v>
      </c>
      <c r="B1" t="s">
        <v>102</v>
      </c>
      <c r="C1" t="s">
        <v>103</v>
      </c>
      <c r="D1" t="s">
        <v>104</v>
      </c>
      <c r="F1" t="s">
        <v>189</v>
      </c>
      <c r="G1" t="s">
        <v>190</v>
      </c>
    </row>
    <row r="2" spans="1:7" x14ac:dyDescent="0.3">
      <c r="A2" t="s">
        <v>105</v>
      </c>
      <c r="B2" t="s">
        <v>106</v>
      </c>
      <c r="C2" t="s">
        <v>107</v>
      </c>
      <c r="D2">
        <v>141604</v>
      </c>
      <c r="F2" t="s">
        <v>123</v>
      </c>
      <c r="G2">
        <f>VLOOKUP(F2,A2:D31,4,FALSE)</f>
        <v>119746</v>
      </c>
    </row>
    <row r="3" spans="1:7" x14ac:dyDescent="0.3">
      <c r="A3" t="s">
        <v>108</v>
      </c>
      <c r="B3" t="s">
        <v>109</v>
      </c>
      <c r="C3" t="s">
        <v>110</v>
      </c>
      <c r="D3">
        <v>99975</v>
      </c>
    </row>
    <row r="4" spans="1:7" x14ac:dyDescent="0.3">
      <c r="A4" t="s">
        <v>111</v>
      </c>
      <c r="B4" t="s">
        <v>112</v>
      </c>
      <c r="C4" t="s">
        <v>113</v>
      </c>
      <c r="D4">
        <v>163099</v>
      </c>
    </row>
    <row r="5" spans="1:7" x14ac:dyDescent="0.3">
      <c r="A5" t="s">
        <v>114</v>
      </c>
      <c r="B5" t="s">
        <v>115</v>
      </c>
      <c r="C5" t="s">
        <v>116</v>
      </c>
      <c r="D5">
        <v>84913</v>
      </c>
    </row>
    <row r="6" spans="1:7" x14ac:dyDescent="0.3">
      <c r="A6" t="s">
        <v>117</v>
      </c>
      <c r="B6" t="s">
        <v>118</v>
      </c>
      <c r="C6" t="s">
        <v>119</v>
      </c>
      <c r="D6">
        <v>95409</v>
      </c>
    </row>
    <row r="7" spans="1:7" x14ac:dyDescent="0.3">
      <c r="A7" t="s">
        <v>120</v>
      </c>
      <c r="B7" t="s">
        <v>121</v>
      </c>
      <c r="C7" t="s">
        <v>122</v>
      </c>
      <c r="D7">
        <v>50994</v>
      </c>
    </row>
    <row r="8" spans="1:7" x14ac:dyDescent="0.3">
      <c r="A8" t="s">
        <v>123</v>
      </c>
      <c r="B8" t="s">
        <v>124</v>
      </c>
      <c r="C8" t="s">
        <v>125</v>
      </c>
      <c r="D8">
        <v>119746</v>
      </c>
    </row>
    <row r="9" spans="1:7" x14ac:dyDescent="0.3">
      <c r="A9" t="s">
        <v>126</v>
      </c>
      <c r="B9" t="s">
        <v>127</v>
      </c>
      <c r="C9" t="s">
        <v>128</v>
      </c>
      <c r="D9">
        <v>41336</v>
      </c>
    </row>
    <row r="10" spans="1:7" x14ac:dyDescent="0.3">
      <c r="A10" t="s">
        <v>129</v>
      </c>
      <c r="B10" t="s">
        <v>130</v>
      </c>
      <c r="C10" t="s">
        <v>125</v>
      </c>
      <c r="D10">
        <v>113527</v>
      </c>
    </row>
    <row r="11" spans="1:7" x14ac:dyDescent="0.3">
      <c r="A11" t="s">
        <v>131</v>
      </c>
      <c r="B11" t="s">
        <v>132</v>
      </c>
      <c r="C11" t="s">
        <v>119</v>
      </c>
      <c r="D11">
        <v>77203</v>
      </c>
    </row>
    <row r="12" spans="1:7" x14ac:dyDescent="0.3">
      <c r="A12" t="s">
        <v>133</v>
      </c>
      <c r="B12" t="s">
        <v>134</v>
      </c>
      <c r="C12" t="s">
        <v>107</v>
      </c>
      <c r="D12">
        <v>157333</v>
      </c>
    </row>
    <row r="13" spans="1:7" x14ac:dyDescent="0.3">
      <c r="A13" t="s">
        <v>135</v>
      </c>
      <c r="B13" t="s">
        <v>136</v>
      </c>
      <c r="C13" t="s">
        <v>137</v>
      </c>
      <c r="D13">
        <v>109851</v>
      </c>
    </row>
    <row r="14" spans="1:7" x14ac:dyDescent="0.3">
      <c r="A14" t="s">
        <v>138</v>
      </c>
      <c r="B14" t="s">
        <v>139</v>
      </c>
      <c r="C14" t="s">
        <v>125</v>
      </c>
      <c r="D14">
        <v>105086</v>
      </c>
    </row>
    <row r="15" spans="1:7" x14ac:dyDescent="0.3">
      <c r="A15" t="s">
        <v>140</v>
      </c>
      <c r="B15" t="s">
        <v>141</v>
      </c>
      <c r="C15" t="s">
        <v>107</v>
      </c>
      <c r="D15">
        <v>146742</v>
      </c>
    </row>
    <row r="16" spans="1:7" x14ac:dyDescent="0.3">
      <c r="A16" t="s">
        <v>142</v>
      </c>
      <c r="B16" t="s">
        <v>143</v>
      </c>
      <c r="C16" t="s">
        <v>119</v>
      </c>
      <c r="D16">
        <v>97078</v>
      </c>
    </row>
    <row r="17" spans="1:4" x14ac:dyDescent="0.3">
      <c r="A17" t="s">
        <v>144</v>
      </c>
      <c r="B17" t="s">
        <v>145</v>
      </c>
      <c r="C17" t="s">
        <v>146</v>
      </c>
      <c r="D17">
        <v>249270</v>
      </c>
    </row>
    <row r="18" spans="1:4" x14ac:dyDescent="0.3">
      <c r="A18" t="s">
        <v>147</v>
      </c>
      <c r="B18" t="s">
        <v>148</v>
      </c>
      <c r="C18" t="s">
        <v>149</v>
      </c>
      <c r="D18">
        <v>68250</v>
      </c>
    </row>
    <row r="19" spans="1:4" x14ac:dyDescent="0.3">
      <c r="A19" t="s">
        <v>150</v>
      </c>
      <c r="B19" t="s">
        <v>151</v>
      </c>
      <c r="C19" t="s">
        <v>152</v>
      </c>
      <c r="D19">
        <v>57480</v>
      </c>
    </row>
    <row r="20" spans="1:4" x14ac:dyDescent="0.3">
      <c r="A20" t="s">
        <v>153</v>
      </c>
      <c r="B20" t="s">
        <v>154</v>
      </c>
      <c r="C20" t="s">
        <v>155</v>
      </c>
      <c r="D20">
        <v>91200</v>
      </c>
    </row>
    <row r="21" spans="1:4" x14ac:dyDescent="0.3">
      <c r="A21" t="s">
        <v>156</v>
      </c>
      <c r="B21" t="s">
        <v>157</v>
      </c>
      <c r="C21" t="s">
        <v>158</v>
      </c>
      <c r="D21">
        <v>78850</v>
      </c>
    </row>
    <row r="22" spans="1:4" x14ac:dyDescent="0.3">
      <c r="A22" t="s">
        <v>159</v>
      </c>
      <c r="B22" t="s">
        <v>160</v>
      </c>
      <c r="C22" t="s">
        <v>161</v>
      </c>
      <c r="D22">
        <v>128500</v>
      </c>
    </row>
    <row r="23" spans="1:4" x14ac:dyDescent="0.3">
      <c r="A23" t="s">
        <v>162</v>
      </c>
      <c r="B23" t="s">
        <v>163</v>
      </c>
      <c r="C23" t="s">
        <v>164</v>
      </c>
      <c r="D23">
        <v>62300</v>
      </c>
    </row>
    <row r="24" spans="1:4" x14ac:dyDescent="0.3">
      <c r="A24" t="s">
        <v>165</v>
      </c>
      <c r="B24" t="s">
        <v>166</v>
      </c>
      <c r="C24" t="s">
        <v>167</v>
      </c>
      <c r="D24">
        <v>85600</v>
      </c>
    </row>
    <row r="25" spans="1:4" x14ac:dyDescent="0.3">
      <c r="A25" t="s">
        <v>168</v>
      </c>
      <c r="B25" t="s">
        <v>169</v>
      </c>
      <c r="C25" t="s">
        <v>170</v>
      </c>
      <c r="D25">
        <v>118900</v>
      </c>
    </row>
    <row r="26" spans="1:4" x14ac:dyDescent="0.3">
      <c r="A26" t="s">
        <v>171</v>
      </c>
      <c r="B26" t="s">
        <v>172</v>
      </c>
      <c r="C26" t="s">
        <v>173</v>
      </c>
      <c r="D26">
        <v>55200</v>
      </c>
    </row>
    <row r="27" spans="1:4" x14ac:dyDescent="0.3">
      <c r="A27" t="s">
        <v>174</v>
      </c>
      <c r="B27" t="s">
        <v>175</v>
      </c>
      <c r="C27" t="s">
        <v>176</v>
      </c>
      <c r="D27">
        <v>135400</v>
      </c>
    </row>
    <row r="28" spans="1:4" x14ac:dyDescent="0.3">
      <c r="A28" t="s">
        <v>177</v>
      </c>
      <c r="B28" t="s">
        <v>178</v>
      </c>
      <c r="C28" t="s">
        <v>179</v>
      </c>
      <c r="D28">
        <v>109800</v>
      </c>
    </row>
    <row r="29" spans="1:4" x14ac:dyDescent="0.3">
      <c r="A29" t="s">
        <v>180</v>
      </c>
      <c r="B29" t="s">
        <v>181</v>
      </c>
      <c r="C29" t="s">
        <v>182</v>
      </c>
      <c r="D29">
        <v>59400</v>
      </c>
    </row>
    <row r="30" spans="1:4" x14ac:dyDescent="0.3">
      <c r="A30" t="s">
        <v>183</v>
      </c>
      <c r="B30" t="s">
        <v>184</v>
      </c>
      <c r="C30" t="s">
        <v>185</v>
      </c>
      <c r="D30">
        <v>121750</v>
      </c>
    </row>
    <row r="31" spans="1:4" x14ac:dyDescent="0.3">
      <c r="A31" t="s">
        <v>186</v>
      </c>
      <c r="B31" t="s">
        <v>187</v>
      </c>
      <c r="C31" t="s">
        <v>188</v>
      </c>
      <c r="D31">
        <v>68900</v>
      </c>
    </row>
  </sheetData>
  <phoneticPr fontId="5" type="noConversion"/>
  <dataValidations count="1">
    <dataValidation type="list" allowBlank="1" showInputMessage="1" showErrorMessage="1" sqref="F2" xr:uid="{9FA0EF7B-4BEE-45D0-BABF-9D4D90D4FA7C}">
      <formula1>$A$2:$A$32</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894E4-1884-4200-888E-A676CE8404DC}">
  <sheetPr codeName="Sheet7"/>
  <dimension ref="A1:E31"/>
  <sheetViews>
    <sheetView topLeftCell="A4" workbookViewId="0">
      <selection activeCell="E4" sqref="E4:E5"/>
    </sheetView>
  </sheetViews>
  <sheetFormatPr defaultRowHeight="14.4" x14ac:dyDescent="0.3"/>
  <cols>
    <col min="1" max="1" width="7" bestFit="1" customWidth="1"/>
    <col min="2" max="2" width="14.44140625" bestFit="1" customWidth="1"/>
    <col min="3" max="3" width="23.6640625" bestFit="1" customWidth="1"/>
    <col min="4" max="4" width="11.77734375" bestFit="1" customWidth="1"/>
  </cols>
  <sheetData>
    <row r="1" spans="1:5" x14ac:dyDescent="0.3">
      <c r="A1" t="s">
        <v>101</v>
      </c>
      <c r="B1" t="s">
        <v>102</v>
      </c>
      <c r="C1" t="s">
        <v>103</v>
      </c>
      <c r="D1" t="s">
        <v>104</v>
      </c>
    </row>
    <row r="2" spans="1:5" x14ac:dyDescent="0.3">
      <c r="A2" t="s">
        <v>105</v>
      </c>
      <c r="B2" t="s">
        <v>106</v>
      </c>
      <c r="C2" t="s">
        <v>107</v>
      </c>
      <c r="D2">
        <v>141604</v>
      </c>
    </row>
    <row r="3" spans="1:5" x14ac:dyDescent="0.3">
      <c r="A3" t="s">
        <v>108</v>
      </c>
      <c r="B3" t="s">
        <v>109</v>
      </c>
      <c r="C3" t="s">
        <v>110</v>
      </c>
      <c r="D3">
        <v>99975</v>
      </c>
    </row>
    <row r="4" spans="1:5" x14ac:dyDescent="0.3">
      <c r="A4" t="s">
        <v>111</v>
      </c>
      <c r="B4" t="s">
        <v>112</v>
      </c>
      <c r="C4" t="s">
        <v>113</v>
      </c>
      <c r="D4">
        <v>163099</v>
      </c>
      <c r="E4" t="s">
        <v>123</v>
      </c>
    </row>
    <row r="5" spans="1:5" x14ac:dyDescent="0.3">
      <c r="A5" t="s">
        <v>114</v>
      </c>
      <c r="B5" t="s">
        <v>115</v>
      </c>
      <c r="C5" t="s">
        <v>116</v>
      </c>
      <c r="D5">
        <v>84913</v>
      </c>
      <c r="E5" t="s">
        <v>102</v>
      </c>
    </row>
    <row r="6" spans="1:5" x14ac:dyDescent="0.3">
      <c r="A6" t="s">
        <v>117</v>
      </c>
      <c r="B6" t="s">
        <v>118</v>
      </c>
      <c r="C6" t="s">
        <v>119</v>
      </c>
      <c r="D6">
        <v>95409</v>
      </c>
      <c r="E6" t="str" cm="1">
        <f t="array" ref="E6">_xlfn.XLOOKUP(E4,A2:A31,(_xlfn.XLOOKUP(E5,B1:D1,B2:D31)))</f>
        <v>Ruby Barnes</v>
      </c>
    </row>
    <row r="7" spans="1:5" x14ac:dyDescent="0.3">
      <c r="A7" t="s">
        <v>120</v>
      </c>
      <c r="B7" t="s">
        <v>121</v>
      </c>
      <c r="C7" t="s">
        <v>122</v>
      </c>
      <c r="D7">
        <v>50994</v>
      </c>
    </row>
    <row r="8" spans="1:5" x14ac:dyDescent="0.3">
      <c r="A8" t="s">
        <v>123</v>
      </c>
      <c r="B8" t="s">
        <v>124</v>
      </c>
      <c r="C8" t="s">
        <v>125</v>
      </c>
      <c r="D8">
        <v>119746</v>
      </c>
    </row>
    <row r="9" spans="1:5" x14ac:dyDescent="0.3">
      <c r="A9" t="s">
        <v>126</v>
      </c>
      <c r="B9" t="s">
        <v>127</v>
      </c>
      <c r="C9" t="s">
        <v>128</v>
      </c>
      <c r="D9">
        <v>41336</v>
      </c>
    </row>
    <row r="10" spans="1:5" x14ac:dyDescent="0.3">
      <c r="A10" t="s">
        <v>129</v>
      </c>
      <c r="B10" t="s">
        <v>130</v>
      </c>
      <c r="C10" t="s">
        <v>125</v>
      </c>
      <c r="D10">
        <v>113527</v>
      </c>
    </row>
    <row r="11" spans="1:5" x14ac:dyDescent="0.3">
      <c r="A11" t="s">
        <v>131</v>
      </c>
      <c r="B11" t="s">
        <v>132</v>
      </c>
      <c r="C11" t="s">
        <v>119</v>
      </c>
      <c r="D11">
        <v>77203</v>
      </c>
    </row>
    <row r="12" spans="1:5" x14ac:dyDescent="0.3">
      <c r="A12" t="s">
        <v>133</v>
      </c>
      <c r="B12" t="s">
        <v>134</v>
      </c>
      <c r="C12" t="s">
        <v>107</v>
      </c>
      <c r="D12">
        <v>157333</v>
      </c>
    </row>
    <row r="13" spans="1:5" x14ac:dyDescent="0.3">
      <c r="A13" t="s">
        <v>135</v>
      </c>
      <c r="B13" t="s">
        <v>136</v>
      </c>
      <c r="C13" t="s">
        <v>137</v>
      </c>
      <c r="D13">
        <v>109851</v>
      </c>
    </row>
    <row r="14" spans="1:5" x14ac:dyDescent="0.3">
      <c r="A14" t="s">
        <v>138</v>
      </c>
      <c r="B14" t="s">
        <v>139</v>
      </c>
      <c r="C14" t="s">
        <v>125</v>
      </c>
      <c r="D14">
        <v>105086</v>
      </c>
    </row>
    <row r="15" spans="1:5" x14ac:dyDescent="0.3">
      <c r="A15" t="s">
        <v>140</v>
      </c>
      <c r="B15" t="s">
        <v>141</v>
      </c>
      <c r="C15" t="s">
        <v>107</v>
      </c>
      <c r="D15">
        <v>146742</v>
      </c>
    </row>
    <row r="16" spans="1:5" x14ac:dyDescent="0.3">
      <c r="A16" t="s">
        <v>142</v>
      </c>
      <c r="B16" t="s">
        <v>143</v>
      </c>
      <c r="C16" t="s">
        <v>119</v>
      </c>
      <c r="D16">
        <v>97078</v>
      </c>
    </row>
    <row r="17" spans="1:4" x14ac:dyDescent="0.3">
      <c r="A17" t="s">
        <v>144</v>
      </c>
      <c r="B17" t="s">
        <v>145</v>
      </c>
      <c r="C17" t="s">
        <v>146</v>
      </c>
      <c r="D17">
        <v>249270</v>
      </c>
    </row>
    <row r="18" spans="1:4" x14ac:dyDescent="0.3">
      <c r="A18" t="s">
        <v>147</v>
      </c>
      <c r="B18" t="s">
        <v>148</v>
      </c>
      <c r="C18" t="s">
        <v>149</v>
      </c>
      <c r="D18">
        <v>68250</v>
      </c>
    </row>
    <row r="19" spans="1:4" x14ac:dyDescent="0.3">
      <c r="A19" t="s">
        <v>150</v>
      </c>
      <c r="B19" t="s">
        <v>151</v>
      </c>
      <c r="C19" t="s">
        <v>152</v>
      </c>
      <c r="D19">
        <v>57480</v>
      </c>
    </row>
    <row r="20" spans="1:4" x14ac:dyDescent="0.3">
      <c r="A20" t="s">
        <v>153</v>
      </c>
      <c r="B20" t="s">
        <v>154</v>
      </c>
      <c r="C20" t="s">
        <v>155</v>
      </c>
      <c r="D20">
        <v>91200</v>
      </c>
    </row>
    <row r="21" spans="1:4" x14ac:dyDescent="0.3">
      <c r="A21" t="s">
        <v>156</v>
      </c>
      <c r="B21" t="s">
        <v>157</v>
      </c>
      <c r="C21" t="s">
        <v>158</v>
      </c>
      <c r="D21">
        <v>78850</v>
      </c>
    </row>
    <row r="22" spans="1:4" x14ac:dyDescent="0.3">
      <c r="A22" t="s">
        <v>159</v>
      </c>
      <c r="B22" t="s">
        <v>160</v>
      </c>
      <c r="C22" t="s">
        <v>161</v>
      </c>
      <c r="D22">
        <v>128500</v>
      </c>
    </row>
    <row r="23" spans="1:4" x14ac:dyDescent="0.3">
      <c r="A23" t="s">
        <v>162</v>
      </c>
      <c r="B23" t="s">
        <v>163</v>
      </c>
      <c r="C23" t="s">
        <v>164</v>
      </c>
      <c r="D23">
        <v>62300</v>
      </c>
    </row>
    <row r="24" spans="1:4" x14ac:dyDescent="0.3">
      <c r="A24" t="s">
        <v>165</v>
      </c>
      <c r="B24" t="s">
        <v>166</v>
      </c>
      <c r="C24" t="s">
        <v>167</v>
      </c>
      <c r="D24">
        <v>85600</v>
      </c>
    </row>
    <row r="25" spans="1:4" x14ac:dyDescent="0.3">
      <c r="A25" t="s">
        <v>168</v>
      </c>
      <c r="B25" t="s">
        <v>169</v>
      </c>
      <c r="C25" t="s">
        <v>170</v>
      </c>
      <c r="D25">
        <v>118900</v>
      </c>
    </row>
    <row r="26" spans="1:4" x14ac:dyDescent="0.3">
      <c r="A26" t="s">
        <v>171</v>
      </c>
      <c r="B26" t="s">
        <v>172</v>
      </c>
      <c r="C26" t="s">
        <v>173</v>
      </c>
      <c r="D26">
        <v>55200</v>
      </c>
    </row>
    <row r="27" spans="1:4" x14ac:dyDescent="0.3">
      <c r="A27" t="s">
        <v>174</v>
      </c>
      <c r="B27" t="s">
        <v>175</v>
      </c>
      <c r="C27" t="s">
        <v>176</v>
      </c>
      <c r="D27">
        <v>135400</v>
      </c>
    </row>
    <row r="28" spans="1:4" x14ac:dyDescent="0.3">
      <c r="A28" t="s">
        <v>177</v>
      </c>
      <c r="B28" t="s">
        <v>178</v>
      </c>
      <c r="C28" t="s">
        <v>179</v>
      </c>
      <c r="D28">
        <v>109800</v>
      </c>
    </row>
    <row r="29" spans="1:4" x14ac:dyDescent="0.3">
      <c r="A29" t="s">
        <v>180</v>
      </c>
      <c r="B29" t="s">
        <v>181</v>
      </c>
      <c r="C29" t="s">
        <v>182</v>
      </c>
      <c r="D29">
        <v>59400</v>
      </c>
    </row>
    <row r="30" spans="1:4" x14ac:dyDescent="0.3">
      <c r="A30" t="s">
        <v>183</v>
      </c>
      <c r="B30" t="s">
        <v>184</v>
      </c>
      <c r="C30" t="s">
        <v>185</v>
      </c>
      <c r="D30">
        <v>121750</v>
      </c>
    </row>
    <row r="31" spans="1:4" x14ac:dyDescent="0.3">
      <c r="A31" t="s">
        <v>186</v>
      </c>
      <c r="B31" t="s">
        <v>187</v>
      </c>
      <c r="C31" t="s">
        <v>188</v>
      </c>
      <c r="D31">
        <v>68900</v>
      </c>
    </row>
  </sheetData>
  <dataValidations count="2">
    <dataValidation type="list" allowBlank="1" showInputMessage="1" showErrorMessage="1" sqref="E4" xr:uid="{8CE1730E-706B-4A0D-84D1-883AFB72A36B}">
      <formula1>$A$2:$A$31</formula1>
    </dataValidation>
    <dataValidation type="list" allowBlank="1" showInputMessage="1" showErrorMessage="1" sqref="E5" xr:uid="{ECE0FA3E-733D-4CF3-BF6C-40CCB43A818F}">
      <formula1>$B$1:$D$1</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E6209-3C69-45D4-9A93-4218AE0FE181}">
  <sheetPr codeName="Sheet8"/>
  <dimension ref="A1:M31"/>
  <sheetViews>
    <sheetView workbookViewId="0">
      <selection activeCell="E3" sqref="E3"/>
    </sheetView>
  </sheetViews>
  <sheetFormatPr defaultRowHeight="14.4" x14ac:dyDescent="0.3"/>
  <cols>
    <col min="2" max="2" width="14.44140625" bestFit="1" customWidth="1"/>
    <col min="3" max="3" width="23.6640625" bestFit="1" customWidth="1"/>
    <col min="4" max="4" width="11.77734375" bestFit="1" customWidth="1"/>
    <col min="7" max="7" width="11.77734375" bestFit="1" customWidth="1"/>
    <col min="11" max="11" width="13.77734375" bestFit="1" customWidth="1"/>
    <col min="13" max="13" width="16.109375" bestFit="1" customWidth="1"/>
  </cols>
  <sheetData>
    <row r="1" spans="1:13" x14ac:dyDescent="0.3">
      <c r="A1" t="s">
        <v>101</v>
      </c>
      <c r="B1" t="s">
        <v>102</v>
      </c>
      <c r="C1" t="s">
        <v>103</v>
      </c>
      <c r="D1" t="s">
        <v>104</v>
      </c>
    </row>
    <row r="2" spans="1:13" x14ac:dyDescent="0.3">
      <c r="A2" t="s">
        <v>105</v>
      </c>
      <c r="B2" t="s">
        <v>106</v>
      </c>
      <c r="C2" t="s">
        <v>107</v>
      </c>
      <c r="D2">
        <v>141604</v>
      </c>
    </row>
    <row r="3" spans="1:13" x14ac:dyDescent="0.3">
      <c r="A3" t="s">
        <v>108</v>
      </c>
      <c r="B3" t="s">
        <v>109</v>
      </c>
      <c r="C3" t="s">
        <v>110</v>
      </c>
      <c r="D3">
        <v>99975</v>
      </c>
      <c r="E3" t="s">
        <v>105</v>
      </c>
      <c r="G3" t="s">
        <v>192</v>
      </c>
      <c r="I3" t="s">
        <v>193</v>
      </c>
      <c r="K3" t="s">
        <v>194</v>
      </c>
      <c r="M3" t="s">
        <v>195</v>
      </c>
    </row>
    <row r="4" spans="1:13" x14ac:dyDescent="0.3">
      <c r="A4" t="s">
        <v>111</v>
      </c>
      <c r="B4" t="s">
        <v>112</v>
      </c>
      <c r="C4" t="s">
        <v>113</v>
      </c>
      <c r="D4">
        <v>163099</v>
      </c>
      <c r="E4" t="s">
        <v>103</v>
      </c>
      <c r="G4" t="str">
        <f>INDEX(B2:B31,6)</f>
        <v>Joshua Gupta</v>
      </c>
      <c r="I4">
        <f>MATCH(E3,A2:A31,0)</f>
        <v>1</v>
      </c>
      <c r="K4" t="str">
        <f>INDEX(B2:B31,MATCH(E3,A2:A31,0))</f>
        <v>Emily Davis</v>
      </c>
      <c r="M4" t="str">
        <f>INDEX(C2:C31,MATCH(E3,A2:A31,0))</f>
        <v>Sr. Manager</v>
      </c>
    </row>
    <row r="5" spans="1:13" x14ac:dyDescent="0.3">
      <c r="A5" t="s">
        <v>114</v>
      </c>
      <c r="B5" t="s">
        <v>115</v>
      </c>
      <c r="C5" t="s">
        <v>116</v>
      </c>
      <c r="D5">
        <v>84913</v>
      </c>
    </row>
    <row r="6" spans="1:13" x14ac:dyDescent="0.3">
      <c r="A6" t="s">
        <v>117</v>
      </c>
      <c r="B6" t="s">
        <v>118</v>
      </c>
      <c r="C6" t="s">
        <v>119</v>
      </c>
      <c r="D6">
        <v>95409</v>
      </c>
    </row>
    <row r="7" spans="1:13" x14ac:dyDescent="0.3">
      <c r="A7" t="s">
        <v>120</v>
      </c>
      <c r="B7" t="s">
        <v>121</v>
      </c>
      <c r="C7" t="s">
        <v>122</v>
      </c>
      <c r="D7">
        <v>50994</v>
      </c>
    </row>
    <row r="8" spans="1:13" x14ac:dyDescent="0.3">
      <c r="A8" t="s">
        <v>123</v>
      </c>
      <c r="B8" t="s">
        <v>124</v>
      </c>
      <c r="C8" t="s">
        <v>125</v>
      </c>
      <c r="D8">
        <v>119746</v>
      </c>
    </row>
    <row r="9" spans="1:13" x14ac:dyDescent="0.3">
      <c r="A9" t="s">
        <v>126</v>
      </c>
      <c r="B9" t="s">
        <v>127</v>
      </c>
      <c r="C9" t="s">
        <v>128</v>
      </c>
      <c r="D9">
        <v>41336</v>
      </c>
    </row>
    <row r="10" spans="1:13" x14ac:dyDescent="0.3">
      <c r="A10" t="s">
        <v>129</v>
      </c>
      <c r="B10" t="s">
        <v>130</v>
      </c>
      <c r="C10" t="s">
        <v>125</v>
      </c>
      <c r="D10">
        <v>113527</v>
      </c>
    </row>
    <row r="11" spans="1:13" x14ac:dyDescent="0.3">
      <c r="A11" t="s">
        <v>131</v>
      </c>
      <c r="B11" t="s">
        <v>132</v>
      </c>
      <c r="C11" t="s">
        <v>119</v>
      </c>
      <c r="D11">
        <v>77203</v>
      </c>
    </row>
    <row r="12" spans="1:13" x14ac:dyDescent="0.3">
      <c r="A12" t="s">
        <v>133</v>
      </c>
      <c r="B12" t="s">
        <v>134</v>
      </c>
      <c r="C12" t="s">
        <v>107</v>
      </c>
      <c r="D12">
        <v>157333</v>
      </c>
    </row>
    <row r="13" spans="1:13" x14ac:dyDescent="0.3">
      <c r="A13" t="s">
        <v>135</v>
      </c>
      <c r="B13" t="s">
        <v>136</v>
      </c>
      <c r="C13" t="s">
        <v>137</v>
      </c>
      <c r="D13">
        <v>109851</v>
      </c>
    </row>
    <row r="14" spans="1:13" x14ac:dyDescent="0.3">
      <c r="A14" t="s">
        <v>138</v>
      </c>
      <c r="B14" t="s">
        <v>139</v>
      </c>
      <c r="C14" t="s">
        <v>125</v>
      </c>
      <c r="D14">
        <v>105086</v>
      </c>
    </row>
    <row r="15" spans="1:13" x14ac:dyDescent="0.3">
      <c r="A15" t="s">
        <v>140</v>
      </c>
      <c r="B15" t="s">
        <v>141</v>
      </c>
      <c r="C15" t="s">
        <v>107</v>
      </c>
      <c r="D15">
        <v>146742</v>
      </c>
    </row>
    <row r="16" spans="1:13" x14ac:dyDescent="0.3">
      <c r="A16" t="s">
        <v>142</v>
      </c>
      <c r="B16" t="s">
        <v>143</v>
      </c>
      <c r="C16" t="s">
        <v>119</v>
      </c>
      <c r="D16">
        <v>97078</v>
      </c>
    </row>
    <row r="17" spans="1:4" x14ac:dyDescent="0.3">
      <c r="A17" t="s">
        <v>144</v>
      </c>
      <c r="B17" t="s">
        <v>145</v>
      </c>
      <c r="C17" t="s">
        <v>146</v>
      </c>
      <c r="D17">
        <v>249270</v>
      </c>
    </row>
    <row r="18" spans="1:4" x14ac:dyDescent="0.3">
      <c r="A18" t="s">
        <v>147</v>
      </c>
      <c r="B18" t="s">
        <v>148</v>
      </c>
      <c r="C18" t="s">
        <v>149</v>
      </c>
      <c r="D18">
        <v>68250</v>
      </c>
    </row>
    <row r="19" spans="1:4" x14ac:dyDescent="0.3">
      <c r="A19" t="s">
        <v>150</v>
      </c>
      <c r="B19" t="s">
        <v>151</v>
      </c>
      <c r="C19" t="s">
        <v>152</v>
      </c>
      <c r="D19">
        <v>57480</v>
      </c>
    </row>
    <row r="20" spans="1:4" x14ac:dyDescent="0.3">
      <c r="A20" t="s">
        <v>153</v>
      </c>
      <c r="B20" t="s">
        <v>154</v>
      </c>
      <c r="C20" t="s">
        <v>155</v>
      </c>
      <c r="D20">
        <v>91200</v>
      </c>
    </row>
    <row r="21" spans="1:4" x14ac:dyDescent="0.3">
      <c r="A21" t="s">
        <v>156</v>
      </c>
      <c r="B21" t="s">
        <v>157</v>
      </c>
      <c r="C21" t="s">
        <v>158</v>
      </c>
      <c r="D21">
        <v>78850</v>
      </c>
    </row>
    <row r="22" spans="1:4" x14ac:dyDescent="0.3">
      <c r="A22" t="s">
        <v>159</v>
      </c>
      <c r="B22" t="s">
        <v>160</v>
      </c>
      <c r="C22" t="s">
        <v>161</v>
      </c>
      <c r="D22">
        <v>128500</v>
      </c>
    </row>
    <row r="23" spans="1:4" x14ac:dyDescent="0.3">
      <c r="A23" t="s">
        <v>162</v>
      </c>
      <c r="B23" t="s">
        <v>163</v>
      </c>
      <c r="C23" t="s">
        <v>164</v>
      </c>
      <c r="D23">
        <v>62300</v>
      </c>
    </row>
    <row r="24" spans="1:4" x14ac:dyDescent="0.3">
      <c r="A24" t="s">
        <v>165</v>
      </c>
      <c r="B24" t="s">
        <v>166</v>
      </c>
      <c r="C24" t="s">
        <v>167</v>
      </c>
      <c r="D24">
        <v>85600</v>
      </c>
    </row>
    <row r="25" spans="1:4" x14ac:dyDescent="0.3">
      <c r="A25" t="s">
        <v>168</v>
      </c>
      <c r="B25" t="s">
        <v>169</v>
      </c>
      <c r="C25" t="s">
        <v>170</v>
      </c>
      <c r="D25">
        <v>118900</v>
      </c>
    </row>
    <row r="26" spans="1:4" x14ac:dyDescent="0.3">
      <c r="A26" t="s">
        <v>171</v>
      </c>
      <c r="B26" t="s">
        <v>172</v>
      </c>
      <c r="C26" t="s">
        <v>173</v>
      </c>
      <c r="D26">
        <v>55200</v>
      </c>
    </row>
    <row r="27" spans="1:4" x14ac:dyDescent="0.3">
      <c r="A27" t="s">
        <v>174</v>
      </c>
      <c r="B27" t="s">
        <v>175</v>
      </c>
      <c r="C27" t="s">
        <v>176</v>
      </c>
      <c r="D27">
        <v>135400</v>
      </c>
    </row>
    <row r="28" spans="1:4" x14ac:dyDescent="0.3">
      <c r="A28" t="s">
        <v>177</v>
      </c>
      <c r="B28" t="s">
        <v>178</v>
      </c>
      <c r="C28" t="s">
        <v>179</v>
      </c>
      <c r="D28">
        <v>109800</v>
      </c>
    </row>
    <row r="29" spans="1:4" x14ac:dyDescent="0.3">
      <c r="A29" t="s">
        <v>180</v>
      </c>
      <c r="B29" t="s">
        <v>181</v>
      </c>
      <c r="C29" t="s">
        <v>182</v>
      </c>
      <c r="D29">
        <v>59400</v>
      </c>
    </row>
    <row r="30" spans="1:4" x14ac:dyDescent="0.3">
      <c r="A30" t="s">
        <v>183</v>
      </c>
      <c r="B30" t="s">
        <v>184</v>
      </c>
      <c r="C30" t="s">
        <v>185</v>
      </c>
      <c r="D30">
        <v>121750</v>
      </c>
    </row>
    <row r="31" spans="1:4" x14ac:dyDescent="0.3">
      <c r="A31" t="s">
        <v>186</v>
      </c>
      <c r="B31" t="s">
        <v>187</v>
      </c>
      <c r="C31" t="s">
        <v>188</v>
      </c>
      <c r="D31">
        <v>68900</v>
      </c>
    </row>
  </sheetData>
  <dataValidations count="2">
    <dataValidation type="list" allowBlank="1" showInputMessage="1" showErrorMessage="1" sqref="E4" xr:uid="{43B9E7B2-DF10-48A7-B6E6-72363DDF3B91}">
      <formula1>$B$1:$D$1</formula1>
    </dataValidation>
    <dataValidation type="list" allowBlank="1" showInputMessage="1" showErrorMessage="1" sqref="E3" xr:uid="{22BDD2A8-245A-4AE2-98A1-4CB552570EDE}">
      <formula1>$A$2:$A$31</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9AAE6-D266-4247-A368-A211E8805AA6}">
  <sheetPr codeName="Sheet9"/>
  <dimension ref="A1:O5"/>
  <sheetViews>
    <sheetView zoomScale="130" zoomScaleNormal="130" workbookViewId="0">
      <selection activeCell="P7" sqref="P7"/>
    </sheetView>
  </sheetViews>
  <sheetFormatPr defaultRowHeight="14.4" x14ac:dyDescent="0.3"/>
  <sheetData>
    <row r="1" spans="1:15" x14ac:dyDescent="0.3">
      <c r="A1" s="11" t="s">
        <v>101</v>
      </c>
      <c r="B1" s="11" t="s">
        <v>105</v>
      </c>
      <c r="C1" s="11" t="s">
        <v>108</v>
      </c>
      <c r="D1" s="11" t="s">
        <v>111</v>
      </c>
      <c r="E1" s="11" t="s">
        <v>114</v>
      </c>
      <c r="F1" s="11" t="s">
        <v>117</v>
      </c>
      <c r="G1" s="11" t="s">
        <v>120</v>
      </c>
      <c r="H1" s="11" t="s">
        <v>123</v>
      </c>
      <c r="I1" s="11" t="s">
        <v>126</v>
      </c>
      <c r="J1" s="11" t="s">
        <v>129</v>
      </c>
      <c r="K1" s="11" t="s">
        <v>131</v>
      </c>
    </row>
    <row r="2" spans="1:15" ht="28.8" x14ac:dyDescent="0.3">
      <c r="A2" s="12" t="s">
        <v>102</v>
      </c>
      <c r="B2" s="12" t="s">
        <v>106</v>
      </c>
      <c r="C2" s="12" t="s">
        <v>109</v>
      </c>
      <c r="D2" s="12" t="s">
        <v>112</v>
      </c>
      <c r="E2" s="12" t="s">
        <v>115</v>
      </c>
      <c r="F2" s="12" t="s">
        <v>118</v>
      </c>
      <c r="G2" s="12" t="s">
        <v>121</v>
      </c>
      <c r="H2" s="12" t="s">
        <v>124</v>
      </c>
      <c r="I2" s="12" t="s">
        <v>127</v>
      </c>
      <c r="J2" s="12" t="s">
        <v>130</v>
      </c>
      <c r="K2" s="12" t="s">
        <v>132</v>
      </c>
    </row>
    <row r="3" spans="1:15" ht="43.2" x14ac:dyDescent="0.3">
      <c r="A3" s="12" t="s">
        <v>103</v>
      </c>
      <c r="B3" s="12" t="s">
        <v>107</v>
      </c>
      <c r="C3" s="12" t="s">
        <v>110</v>
      </c>
      <c r="D3" s="12" t="s">
        <v>113</v>
      </c>
      <c r="E3" s="12" t="s">
        <v>116</v>
      </c>
      <c r="F3" s="12" t="s">
        <v>119</v>
      </c>
      <c r="G3" s="12" t="s">
        <v>122</v>
      </c>
      <c r="H3" s="12" t="s">
        <v>125</v>
      </c>
      <c r="I3" s="12" t="s">
        <v>128</v>
      </c>
      <c r="J3" s="12" t="s">
        <v>125</v>
      </c>
      <c r="K3" s="12" t="s">
        <v>119</v>
      </c>
    </row>
    <row r="4" spans="1:15" ht="28.8" x14ac:dyDescent="0.3">
      <c r="A4" s="12" t="s">
        <v>104</v>
      </c>
      <c r="B4" s="12">
        <v>141604</v>
      </c>
      <c r="C4" s="12">
        <v>99975</v>
      </c>
      <c r="D4" s="12">
        <v>163099</v>
      </c>
      <c r="E4" s="12">
        <v>84913</v>
      </c>
      <c r="F4" s="12">
        <v>95409</v>
      </c>
      <c r="G4" s="12">
        <v>50994</v>
      </c>
      <c r="H4" s="12">
        <v>119746</v>
      </c>
      <c r="I4" s="12">
        <v>41336</v>
      </c>
      <c r="J4" s="12">
        <v>113527</v>
      </c>
      <c r="K4" s="12">
        <v>77203</v>
      </c>
      <c r="N4" s="13" t="s">
        <v>101</v>
      </c>
      <c r="O4" s="13" t="s">
        <v>191</v>
      </c>
    </row>
    <row r="5" spans="1:15" x14ac:dyDescent="0.3">
      <c r="N5" s="11" t="s">
        <v>108</v>
      </c>
      <c r="O5" s="13">
        <f>HLOOKUP(N5,A1:K4,4,FALSE)</f>
        <v>99975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Sheet1</vt:lpstr>
      <vt:lpstr>SLICERS</vt:lpstr>
      <vt:lpstr>pivot1</vt:lpstr>
      <vt:lpstr>pivot</vt:lpstr>
      <vt:lpstr>Micros</vt:lpstr>
      <vt:lpstr>Conditional Formating</vt:lpstr>
      <vt:lpstr>DATA VALIDATION</vt:lpstr>
      <vt:lpstr>Sheet2</vt:lpstr>
      <vt:lpstr>VLOOKUP</vt:lpstr>
      <vt:lpstr>XLOOKUP</vt:lpstr>
      <vt:lpstr>INDEXING+MATCHING</vt:lpstr>
      <vt:lpstr>HLOOKUP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mishra</dc:creator>
  <cp:lastModifiedBy>yash mishra</cp:lastModifiedBy>
  <dcterms:created xsi:type="dcterms:W3CDTF">2026-06-06T10:43:49Z</dcterms:created>
  <dcterms:modified xsi:type="dcterms:W3CDTF">2026-06-11T17:20:33Z</dcterms:modified>
</cp:coreProperties>
</file>