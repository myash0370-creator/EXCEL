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Science\EXCEL\"/>
    </mc:Choice>
  </mc:AlternateContent>
  <xr:revisionPtr revIDLastSave="0" documentId="8_{37E58534-A2C8-4F46-884C-C6E6EB78DF39}" xr6:coauthVersionLast="47" xr6:coauthVersionMax="47" xr10:uidLastSave="{00000000-0000-0000-0000-000000000000}"/>
  <bookViews>
    <workbookView xWindow="-108" yWindow="-108" windowWidth="23256" windowHeight="13176" activeTab="2" xr2:uid="{1D367657-B179-4894-9C73-CBDA1F2A738E}"/>
  </bookViews>
  <sheets>
    <sheet name="Sheet2" sheetId="2" r:id="rId1"/>
    <sheet name="Dashboard" sheetId="6" r:id="rId2"/>
    <sheet name="Sheet3" sheetId="3" r:id="rId3"/>
    <sheet name="Sheet4" sheetId="4" r:id="rId4"/>
    <sheet name="Sheet5" sheetId="5" r:id="rId5"/>
    <sheet name="Data" sheetId="1" r:id="rId6"/>
  </sheets>
  <definedNames>
    <definedName name="_xlchart.v1.0" hidden="1">Sheet4!$A$4:$A$18</definedName>
    <definedName name="_xlchart.v1.1" hidden="1">Sheet4!$B$3</definedName>
    <definedName name="_xlchart.v1.2" hidden="1">Sheet4!$B$4:$B$18</definedName>
    <definedName name="_xlchart.v1.3" hidden="1">Sheet4!$A$4:$A$18</definedName>
    <definedName name="_xlchart.v1.4" hidden="1">Sheet4!$B$3</definedName>
    <definedName name="_xlchart.v1.5" hidden="1">Sheet4!$B$4:$B$18</definedName>
    <definedName name="_xlchart.v1.6" hidden="1">Sheet4!$A$4:$A$18</definedName>
    <definedName name="_xlchart.v1.7" hidden="1">Sheet4!$B$3</definedName>
    <definedName name="_xlchart.v1.8" hidden="1">Sheet4!$B$4:$B$18</definedName>
    <definedName name="_xlchart.v1.9" hidden="1">Sheet4!$E$9</definedName>
  </definedNames>
  <calcPr calcId="191029"/>
  <pivotCaches>
    <pivotCache cacheId="7" r:id="rId7"/>
    <pivotCache cacheId="14" r:id="rId8"/>
    <pivotCache cacheId="21" r:id="rId9"/>
    <pivotCache cacheId="28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<sst xmlns="http://schemas.openxmlformats.org/spreadsheetml/2006/main" count="238" uniqueCount="113">
  <si>
    <t>EEID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</si>
  <si>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</si>
  <si>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</si>
  <si>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</si>
  <si>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</si>
  <si>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</si>
  <si>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</si>
  <si>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</si>
  <si>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</si>
  <si>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</si>
  <si>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</si>
  <si>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</si>
  <si>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</si>
  <si>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</si>
  <si>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E08884</t>
  </si>
  <si>
    <t>Camila Silva</t>
  </si>
  <si>
    <t>Sr. Manager</t>
  </si>
  <si>
    <t>Marketing</t>
  </si>
  <si>
    <t>Speciality Products</t>
  </si>
  <si>
    <t>Female</t>
  </si>
  <si>
    <t>Latino</t>
  </si>
  <si>
    <t>United States</t>
  </si>
  <si>
    <t>Seattle</t>
  </si>
  <si>
    <t>E04116</t>
  </si>
  <si>
    <t>David Barnes</t>
  </si>
  <si>
    <t>Director</t>
  </si>
  <si>
    <t>IT</t>
  </si>
  <si>
    <t>Corporate</t>
  </si>
  <si>
    <t>Male</t>
  </si>
  <si>
    <t>Caucasian</t>
  </si>
  <si>
    <t>New York</t>
  </si>
  <si>
    <t>E04625</t>
  </si>
  <si>
    <t>Adam Dang</t>
  </si>
  <si>
    <t>Sales</t>
  </si>
  <si>
    <t>Research &amp; Development</t>
  </si>
  <si>
    <t>Asian</t>
  </si>
  <si>
    <t>China</t>
  </si>
  <si>
    <t>Beijing</t>
  </si>
  <si>
    <t>E03680</t>
  </si>
  <si>
    <t>Elias Alvarado</t>
  </si>
  <si>
    <t>Manufacturing</t>
  </si>
  <si>
    <t>Brazil</t>
  </si>
  <si>
    <t>Sao Paulo</t>
  </si>
  <si>
    <t>E04732</t>
  </si>
  <si>
    <t>Eva Rivera</t>
  </si>
  <si>
    <t>Miami</t>
  </si>
  <si>
    <t>E03484</t>
  </si>
  <si>
    <t>Logan Rivera</t>
  </si>
  <si>
    <t>Chicago</t>
  </si>
  <si>
    <t>E00671</t>
  </si>
  <si>
    <t>Leonardo Dixon</t>
  </si>
  <si>
    <t>Analyst</t>
  </si>
  <si>
    <t>Austin</t>
  </si>
  <si>
    <t>E02071</t>
  </si>
  <si>
    <t>Mateo Her</t>
  </si>
  <si>
    <t>Vice President</t>
  </si>
  <si>
    <t>E22006</t>
  </si>
  <si>
    <t>Jose Henderson</t>
  </si>
  <si>
    <t>Human Resources</t>
  </si>
  <si>
    <t>Black</t>
  </si>
  <si>
    <t>E04545</t>
  </si>
  <si>
    <t>Abigail Mejia</t>
  </si>
  <si>
    <t>Quality Engineer</t>
  </si>
  <si>
    <t>Engineering</t>
  </si>
  <si>
    <t>Phoenix</t>
  </si>
  <si>
    <t>E06781</t>
  </si>
  <si>
    <t>Kevin Thomas</t>
  </si>
  <si>
    <t>Data Analyst</t>
  </si>
  <si>
    <t>India</t>
  </si>
  <si>
    <t>Bangalore</t>
  </si>
  <si>
    <t>E06782</t>
  </si>
  <si>
    <t>Sarah Johnson</t>
  </si>
  <si>
    <t>Finance</t>
  </si>
  <si>
    <t>Dallas</t>
  </si>
  <si>
    <t>E06783</t>
  </si>
  <si>
    <t>Mohit Sharma</t>
  </si>
  <si>
    <t>Data Engineer</t>
  </si>
  <si>
    <t>Hyderabad</t>
  </si>
  <si>
    <t>E06784</t>
  </si>
  <si>
    <t>Neha Gupta</t>
  </si>
  <si>
    <t>Business Analyst</t>
  </si>
  <si>
    <t>Delhi</t>
  </si>
  <si>
    <t>E06785</t>
  </si>
  <si>
    <t>Chris Walker</t>
  </si>
  <si>
    <t>Product Manager</t>
  </si>
  <si>
    <t>Boston</t>
  </si>
  <si>
    <t>E06786</t>
  </si>
  <si>
    <t>Priya Verma</t>
  </si>
  <si>
    <t>HR Executive</t>
  </si>
  <si>
    <t>Noida</t>
  </si>
  <si>
    <t>E06787</t>
  </si>
  <si>
    <t>Daniel Kim</t>
  </si>
  <si>
    <t>Software Engineer</t>
  </si>
  <si>
    <t>South Korea</t>
  </si>
  <si>
    <t>Seoul</t>
  </si>
  <si>
    <t>E06788</t>
  </si>
  <si>
    <t>Ana Garcia</t>
  </si>
  <si>
    <t>Accountant</t>
  </si>
  <si>
    <t>Accounting</t>
  </si>
  <si>
    <t>Mexico</t>
  </si>
  <si>
    <t>Mexico City</t>
  </si>
  <si>
    <t>E06789</t>
  </si>
  <si>
    <t>James Wilson</t>
  </si>
  <si>
    <t>Operations Manager</t>
  </si>
  <si>
    <t>Operations</t>
  </si>
  <si>
    <t>Houston</t>
  </si>
  <si>
    <t>E06790</t>
  </si>
  <si>
    <t>Riya Singh</t>
  </si>
  <si>
    <t>Marketing Executive</t>
  </si>
  <si>
    <t>Mumbai</t>
  </si>
  <si>
    <t>Row Labels</t>
  </si>
  <si>
    <t>Grand Total</t>
  </si>
  <si>
    <t>Sum of Annual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</si>
</sst>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numFmt numFmtId="13" formatCode="0%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[dashboard2.xlsx]Sheet2!PivotTable2</c:name>
    <c:fmtId val="30"/>
  </c:pivotSource>
  <c:chart>
    <c:title>
      <c:layout>
        <c:manualLayout>
          <c:xMode val="edge"/>
          <c:yMode val="edge"/>
          <c:x val="0.45204855643044617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591426071741033"/>
          <c:y val="0.22624781277340328"/>
          <c:w val="0.72549759405074365"/>
          <c:h val="0.487257582385535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Brazil</c:v>
                </c:pt>
                <c:pt idx="1">
                  <c:v>China</c:v>
                </c:pt>
                <c:pt idx="2">
                  <c:v>India</c:v>
                </c:pt>
                <c:pt idx="3">
                  <c:v>Mexico</c:v>
                </c:pt>
                <c:pt idx="4">
                  <c:v>South Korea</c:v>
                </c:pt>
                <c:pt idx="5">
                  <c:v>United States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146140</c:v>
                </c:pt>
                <c:pt idx="1">
                  <c:v>166331</c:v>
                </c:pt>
                <c:pt idx="2">
                  <c:v>335500</c:v>
                </c:pt>
                <c:pt idx="3">
                  <c:v>71000</c:v>
                </c:pt>
                <c:pt idx="4">
                  <c:v>112000</c:v>
                </c:pt>
                <c:pt idx="5">
                  <c:v>1502311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A-4617-9FAF-2A772AE9D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754943"/>
        <c:axId val="211757343"/>
      </c:barChart>
      <c:catAx>
        <c:axId val="21175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57343"/>
        <c:crosses val="autoZero"/>
        <c:auto val="1"/>
        <c:lblAlgn val="ctr"/>
        <c:lblOffset val="100"/>
        <c:noMultiLvlLbl val="0"/>
      </c:catAx>
      <c:valAx>
        <c:axId val="21175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5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[dashboard2.xlsx]Sheet2!PivotTable2</c:name>
    <c:fmtId val="33"/>
  </c:pivotSource>
  <c:chart>
    <c:title>
      <c:layout>
        <c:manualLayout>
          <c:xMode val="edge"/>
          <c:yMode val="edge"/>
          <c:x val="0.45204855643044617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591426071741033"/>
          <c:y val="0.22624781277340328"/>
          <c:w val="0.72549759405074365"/>
          <c:h val="0.487257582385535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Brazil</c:v>
                </c:pt>
                <c:pt idx="1">
                  <c:v>China</c:v>
                </c:pt>
                <c:pt idx="2">
                  <c:v>India</c:v>
                </c:pt>
                <c:pt idx="3">
                  <c:v>Mexico</c:v>
                </c:pt>
                <c:pt idx="4">
                  <c:v>South Korea</c:v>
                </c:pt>
                <c:pt idx="5">
                  <c:v>United States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146140</c:v>
                </c:pt>
                <c:pt idx="1">
                  <c:v>166331</c:v>
                </c:pt>
                <c:pt idx="2">
                  <c:v>335500</c:v>
                </c:pt>
                <c:pt idx="3">
                  <c:v>71000</c:v>
                </c:pt>
                <c:pt idx="4">
                  <c:v>112000</c:v>
                </c:pt>
                <c:pt idx="5">
                  <c:v>1502311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8-4384-B04F-A1E8C528E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754943"/>
        <c:axId val="211757343"/>
      </c:barChart>
      <c:catAx>
        <c:axId val="21175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57343"/>
        <c:crosses val="autoZero"/>
        <c:auto val="1"/>
        <c:lblAlgn val="ctr"/>
        <c:lblOffset val="100"/>
        <c:noMultiLvlLbl val="0"/>
      </c:catAx>
      <c:valAx>
        <c:axId val="21175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5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[dashboard2.xlsx]Sheet5!PivotTable8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68-470D-A88F-AB1FD73F8E88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68-470D-A88F-AB1FD73F8E88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68-470D-A88F-AB1FD73F8E88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68-470D-A88F-AB1FD73F8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Sheet5!$A$4:$A$8</c:f>
              <c:strCache>
                <c:ptCount val="4"/>
                <c:pt idx="0">
                  <c:v>Corporate</c:v>
                </c:pt>
                <c:pt idx="1">
                  <c:v>Manufacturing</c:v>
                </c:pt>
                <c:pt idx="2">
                  <c:v>Research &amp; Development</c:v>
                </c:pt>
                <c:pt idx="3">
                  <c:v>Speciality Products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629584</c:v>
                </c:pt>
                <c:pt idx="1">
                  <c:v>415843</c:v>
                </c:pt>
                <c:pt idx="2">
                  <c:v>675618</c:v>
                </c:pt>
                <c:pt idx="3">
                  <c:v>612237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068-470D-A88F-AB1FD73F8E8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[dashboard2.xlsx]Sheet3!PivotTable4</c:name>
    <c:fmtId val="3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Sheet3!$A$4:$A$12</c:f>
              <c:strCache>
                <c:ptCount val="8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Human Resources</c:v>
                </c:pt>
                <c:pt idx="4">
                  <c:v>IT</c:v>
                </c:pt>
                <c:pt idx="5">
                  <c:v>Marketing</c:v>
                </c:pt>
                <c:pt idx="6">
                  <c:v>Operations</c:v>
                </c:pt>
                <c:pt idx="7">
                  <c:v>Sales</c:v>
                </c:pt>
              </c:strCache>
            </c:strRef>
          </c:cat>
          <c:val>
            <c:numRef>
              <c:f>Sheet3!$B$4:$B$12</c:f>
              <c:numCache>
                <c:formatCode>General</c:formatCode>
                <c:ptCount val="8"/>
                <c:pt idx="0">
                  <c:v>71000</c:v>
                </c:pt>
                <c:pt idx="1">
                  <c:v>98581</c:v>
                </c:pt>
                <c:pt idx="2">
                  <c:v>147000</c:v>
                </c:pt>
                <c:pt idx="3">
                  <c:v>204239</c:v>
                </c:pt>
                <c:pt idx="4">
                  <c:v>784430</c:v>
                </c:pt>
                <c:pt idx="5">
                  <c:v>334828</c:v>
                </c:pt>
                <c:pt idx="6">
                  <c:v>118000</c:v>
                </c:pt>
                <c:pt idx="7">
                  <c:v>575204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0A-442E-BDE1-873ED5064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758607"/>
        <c:axId val="367755247"/>
        <c:axId val="403083375"/>
      </c:line3DChart>
      <c:catAx>
        <c:axId val="367758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5247"/>
        <c:crosses val="autoZero"/>
        <c:auto val="1"/>
        <c:lblAlgn val="ctr"/>
        <c:lblOffset val="100"/>
        <c:noMultiLvlLbl val="0"/>
      </c:catAx>
      <c:valAx>
        <c:axId val="36775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8607"/>
        <c:crosses val="autoZero"/>
        <c:crossBetween val="between"/>
      </c:valAx>
      <c:serAx>
        <c:axId val="40308337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524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[dashboard2.xlsx]Sheet3!PivotTable4</c:name>
    <c:fmtId val="3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Sheet3!$A$4:$A$12</c:f>
              <c:strCache>
                <c:ptCount val="8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Human Resources</c:v>
                </c:pt>
                <c:pt idx="4">
                  <c:v>IT</c:v>
                </c:pt>
                <c:pt idx="5">
                  <c:v>Marketing</c:v>
                </c:pt>
                <c:pt idx="6">
                  <c:v>Operations</c:v>
                </c:pt>
                <c:pt idx="7">
                  <c:v>Sales</c:v>
                </c:pt>
              </c:strCache>
            </c:strRef>
          </c:cat>
          <c:val>
            <c:numRef>
              <c:f>Sheet3!$B$4:$B$12</c:f>
              <c:numCache>
                <c:formatCode>General</c:formatCode>
                <c:ptCount val="8"/>
                <c:pt idx="0">
                  <c:v>71000</c:v>
                </c:pt>
                <c:pt idx="1">
                  <c:v>98581</c:v>
                </c:pt>
                <c:pt idx="2">
                  <c:v>147000</c:v>
                </c:pt>
                <c:pt idx="3">
                  <c:v>204239</c:v>
                </c:pt>
                <c:pt idx="4">
                  <c:v>784430</c:v>
                </c:pt>
                <c:pt idx="5">
                  <c:v>334828</c:v>
                </c:pt>
                <c:pt idx="6">
                  <c:v>118000</c:v>
                </c:pt>
                <c:pt idx="7">
                  <c:v>575204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BD-4F73-8367-2FF003518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758607"/>
        <c:axId val="367755247"/>
        <c:axId val="403083375"/>
      </c:line3DChart>
      <c:catAx>
        <c:axId val="367758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5247"/>
        <c:crosses val="autoZero"/>
        <c:auto val="1"/>
        <c:lblAlgn val="ctr"/>
        <c:lblOffset val="100"/>
        <c:noMultiLvlLbl val="0"/>
      </c:catAx>
      <c:valAx>
        <c:axId val="36775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8607"/>
        <c:crosses val="autoZero"/>
        <c:crossBetween val="between"/>
      </c:valAx>
      <c:serAx>
        <c:axId val="40308337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524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[dashboard2.xlsx]Sheet5!PivotTable8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Sheet5!$A$4:$A$8</c:f>
              <c:strCache>
                <c:ptCount val="4"/>
                <c:pt idx="0">
                  <c:v>Corporate</c:v>
                </c:pt>
                <c:pt idx="1">
                  <c:v>Manufacturing</c:v>
                </c:pt>
                <c:pt idx="2">
                  <c:v>Research &amp; Development</c:v>
                </c:pt>
                <c:pt idx="3">
                  <c:v>Speciality Products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629584</c:v>
                </c:pt>
                <c:pt idx="1">
                  <c:v>415843</c:v>
                </c:pt>
                <c:pt idx="2">
                  <c:v>675618</c:v>
                </c:pt>
                <c:pt idx="3">
                  <c:v>612237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D-4D74-B73E-78D77AD0EBE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/>
    <cx:plotArea>
      <cx:plotAreaRegion>
        <cx:series layoutId="treemap" uniqueId="{00000001-D73D-4A92-B8E3-C9EB9E3818E8}">
          <cx:tx>
            <cx:txData>
              <cx:f>_xlchart.v1.4</cx:f>
              <cx:v>Sum of Annual Salary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/>
    <cx:plotArea>
      <cx:plotAreaRegion>
        <cx:series layoutId="treemap" uniqueId="{00000001-D73D-4A92-B8E3-C9EB9E3818E8}">
          <cx:tx>
            <cx:txData>
              <cx:f>_xlchart.v1.7</cx:f>
              <cx:v>Sum of Annual Salary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8">
  <cs:axisTitle>
    <cs:lnRef idx="0"/>
    <cs:fillRef idx="0"/>
    <cs:effectRef idx="0"/>
    <cs:fontRef idx="minor">
      <a:schemeClr val="tx1">
        <a:lumMod val="50000"/>
        <a:lumOff val="50000"/>
      </a:schemeClr>
    </cs:fontRef>
    <cs:spPr>
      <a:solidFill>
        <a:schemeClr val="bg1">
          <a:lumMod val="8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18">
  <cs:axisTitle>
    <cs:lnRef idx="0"/>
    <cs:fillRef idx="0"/>
    <cs:effectRef idx="0"/>
    <cs:fontRef idx="minor">
      <a:schemeClr val="tx1">
        <a:lumMod val="50000"/>
        <a:lumOff val="50000"/>
      </a:schemeClr>
    </cs:fontRef>
    <cs:spPr>
      <a:solidFill>
        <a:schemeClr val="bg1">
          <a:lumMod val="8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microsoft.com/office/2014/relationships/chartEx" Target="../charts/chartEx1.xml"/><Relationship Id="rId1" Type="http://schemas.openxmlformats.org/officeDocument/2006/relationships/chart" Target="../charts/chart2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1</xdr:row>
      <xdr:rowOff>91440</xdr:rowOff>
    </xdr:from>
    <xdr:to>
      <xdr:col>11</xdr:col>
      <xdr:colOff>53340</xdr:colOff>
      <xdr:row>16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A1F44B-2DC4-0E6A-7E2D-8E27B5C35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45720</xdr:rowOff>
    </xdr:from>
    <xdr:to>
      <xdr:col>7</xdr:col>
      <xdr:colOff>259080</xdr:colOff>
      <xdr:row>13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2AE995-5441-4DD1-AC06-416778CF15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13</xdr:row>
      <xdr:rowOff>144780</xdr:rowOff>
    </xdr:from>
    <xdr:to>
      <xdr:col>7</xdr:col>
      <xdr:colOff>342900</xdr:colOff>
      <xdr:row>28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954F305-7513-44E2-B0EE-368CA985EC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2522220"/>
              <a:ext cx="4572000" cy="2628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495300</xdr:colOff>
      <xdr:row>13</xdr:row>
      <xdr:rowOff>22860</xdr:rowOff>
    </xdr:from>
    <xdr:to>
      <xdr:col>15</xdr:col>
      <xdr:colOff>190500</xdr:colOff>
      <xdr:row>28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23FB6D-0EB5-46E6-A393-4E0E5F5550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563880</xdr:colOff>
      <xdr:row>0</xdr:row>
      <xdr:rowOff>129540</xdr:rowOff>
    </xdr:from>
    <xdr:to>
      <xdr:col>15</xdr:col>
      <xdr:colOff>259080</xdr:colOff>
      <xdr:row>12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250A775-9FAE-4965-8979-0BF71389E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0</xdr:row>
      <xdr:rowOff>152400</xdr:rowOff>
    </xdr:from>
    <xdr:to>
      <xdr:col>10</xdr:col>
      <xdr:colOff>297180</xdr:colOff>
      <xdr:row>15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ECAF78-3CA2-70E5-2D5A-50C6E8ABF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3</xdr:row>
      <xdr:rowOff>22860</xdr:rowOff>
    </xdr:from>
    <xdr:to>
      <xdr:col>11</xdr:col>
      <xdr:colOff>198120</xdr:colOff>
      <xdr:row>18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1BF6FD5-2B2D-80B4-2D5B-168A2A4706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3780" y="571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365760</xdr:colOff>
      <xdr:row>2</xdr:row>
      <xdr:rowOff>99060</xdr:rowOff>
    </xdr:from>
    <xdr:to>
      <xdr:col>10</xdr:col>
      <xdr:colOff>60960</xdr:colOff>
      <xdr:row>17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0C8607-B7ED-E328-1955-E3F0A3A83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Mishra" refreshedDate="46186.644822569448" createdVersion="8" refreshedVersion="8" minRefreshableVersion="3" recordCount="20" xr:uid="{2B770F75-CA5F-45AC-B986-AF1D50136E49}">
  <cacheSource type="worksheet">
    <worksheetSource name="Table1"/>
  </cacheSource>
  <cacheFields count="13">
    <cacheField name="EEID" numFmtId="0">
      <sharedItems count="20">
        <s v="E08884"/>
        <s v="E04116"/>
        <s v="E04625"/>
        <s v="E03680"/>
        <s v="E04732"/>
        <s v="E03484"/>
        <s v="E00671"/>
        <s v="E02071"/>
        <s v="E22006"/>
        <s v="E04545"/>
        <s v="E06781"/>
        <s v="E06782"/>
        <s v="E06783"/>
        <s v="E06784"/>
        <s v="E06785"/>
        <s v="E06786"/>
        <s v="E06787"/>
        <s v="E06788"/>
        <s v="E06789"/>
        <s v="E06790"/>
      </sharedItems>
    </cacheField>
    <cacheField name="Full Name" numFmtId="0">
      <sharedItems/>
    </cacheField>
    <cacheField name="Job Title" numFmtId="0">
      <sharedItems/>
    </cacheField>
    <cacheField name="Department" numFmtId="0">
      <sharedItems/>
    </cacheField>
    <cacheField name="Business Unit" numFmtId="0">
      <sharedItems/>
    </cacheField>
    <cacheField name="Gender" numFmtId="0">
      <sharedItems/>
    </cacheField>
    <cacheField name="Ethnicity" numFmtId="0">
      <sharedItems count="4">
        <s v="Latino"/>
        <s v="Caucasian"/>
        <s v="Asian"/>
        <s v="Black"/>
      </sharedItems>
    </cacheField>
    <cacheField name="Age" numFmtId="0">
      <sharedItems containsSemiMixedTypes="0" containsString="0" containsNumber="1" containsInteger="1" minValue="25" maxValue="64"/>
    </cacheField>
    <cacheField name="Hire Date" numFmtId="14">
      <sharedItems containsSemiMixedTypes="0" containsNonDate="0" containsDate="1" containsString="0" minDate="2002-05-24T00:00:00" maxDate="2023-10-11T00:00:00"/>
    </cacheField>
    <cacheField name="Annual Salary" numFmtId="0">
      <sharedItems containsSemiMixedTypes="0" containsString="0" containsNumber="1" containsInteger="1" minValue="48000" maxValue="207172"/>
    </cacheField>
    <cacheField name="Bonus %" numFmtId="9">
      <sharedItems containsSemiMixedTypes="0" containsString="0" containsNumber="1" minValue="0" maxValue="0.3"/>
    </cacheField>
    <cacheField name="Country" numFmtId="0">
      <sharedItems count="6">
        <s v="United States"/>
        <s v="China"/>
        <s v="Brazil"/>
        <s v="India"/>
        <s v="South Korea"/>
        <s v="Mexico"/>
      </sharedItems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Mishra" refreshedDate="46186.645613541667" createdVersion="8" refreshedVersion="8" minRefreshableVersion="3" recordCount="20" xr:uid="{8A17A340-8A39-4055-9935-4E831E24C162}">
  <cacheSource type="worksheet">
    <worksheetSource name="Table1"/>
  </cacheSource>
  <cacheFields count="13">
    <cacheField name="EEID" numFmtId="0">
      <sharedItems/>
    </cacheField>
    <cacheField name="Full Name" numFmtId="0">
      <sharedItems/>
    </cacheField>
    <cacheField name="Job Title" numFmtId="0">
      <sharedItems count="14">
        <s v="Sr. Manager"/>
        <s v="Director"/>
        <s v="Analyst"/>
        <s v="Vice President"/>
        <s v="Quality Engineer"/>
        <s v="Data Analyst"/>
        <s v="Data Engineer"/>
        <s v="Business Analyst"/>
        <s v="Product Manager"/>
        <s v="HR Executive"/>
        <s v="Software Engineer"/>
        <s v="Accountant"/>
        <s v="Operations Manager"/>
        <s v="Marketing Executive"/>
      </sharedItems>
    </cacheField>
    <cacheField name="Department" numFmtId="0">
      <sharedItems count="8">
        <s v="Marketing"/>
        <s v="IT"/>
        <s v="Sales"/>
        <s v="Human Resources"/>
        <s v="Engineering"/>
        <s v="Finance"/>
        <s v="Accounting"/>
        <s v="Operations"/>
      </sharedItems>
    </cacheField>
    <cacheField name="Business Unit" numFmtId="0">
      <sharedItems/>
    </cacheField>
    <cacheField name="Gender" numFmtId="0">
      <sharedItems/>
    </cacheField>
    <cacheField name="Ethnicity" numFmtId="0">
      <sharedItems/>
    </cacheField>
    <cacheField name="Age" numFmtId="0">
      <sharedItems containsSemiMixedTypes="0" containsString="0" containsNumber="1" containsInteger="1" minValue="25" maxValue="64"/>
    </cacheField>
    <cacheField name="Hire Date" numFmtId="14">
      <sharedItems containsSemiMixedTypes="0" containsNonDate="0" containsDate="1" containsString="0" minDate="2002-05-24T00:00:00" maxDate="2023-10-11T00:00:00"/>
    </cacheField>
    <cacheField name="Annual Salary" numFmtId="0">
      <sharedItems containsSemiMixedTypes="0" containsString="0" containsNumber="1" containsInteger="1" minValue="48000" maxValue="207172"/>
    </cacheField>
    <cacheField name="Bonus %" numFmtId="9">
      <sharedItems containsSemiMixedTypes="0" containsString="0" containsNumber="1" minValue="0" maxValue="0.3"/>
    </cacheField>
    <cacheField name="Country" numFmtId="0">
      <sharedItems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Mishra" refreshedDate="46186.646241319446" createdVersion="8" refreshedVersion="8" minRefreshableVersion="3" recordCount="20" xr:uid="{7F9DC2B9-CC32-4675-9229-F2454F62959E}">
  <cacheSource type="worksheet">
    <worksheetSource name="Table1"/>
  </cacheSource>
  <cacheFields count="13">
    <cacheField name="EEID" numFmtId="0">
      <sharedItems/>
    </cacheField>
    <cacheField name="Full Name" numFmtId="0">
      <sharedItems/>
    </cacheField>
    <cacheField name="Job Title" numFmtId="0">
      <sharedItems count="14">
        <s v="Sr. Manager"/>
        <s v="Director"/>
        <s v="Analyst"/>
        <s v="Vice President"/>
        <s v="Quality Engineer"/>
        <s v="Data Analyst"/>
        <s v="Data Engineer"/>
        <s v="Business Analyst"/>
        <s v="Product Manager"/>
        <s v="HR Executive"/>
        <s v="Software Engineer"/>
        <s v="Accountant"/>
        <s v="Operations Manager"/>
        <s v="Marketing Executive"/>
      </sharedItems>
    </cacheField>
    <cacheField name="Department" numFmtId="0">
      <sharedItems count="8">
        <s v="Marketing"/>
        <s v="IT"/>
        <s v="Sales"/>
        <s v="Human Resources"/>
        <s v="Engineering"/>
        <s v="Finance"/>
        <s v="Accounting"/>
        <s v="Operations"/>
      </sharedItems>
    </cacheField>
    <cacheField name="Business Unit" numFmtId="0">
      <sharedItems/>
    </cacheField>
    <cacheField name="Gender" numFmtId="0">
      <sharedItems/>
    </cacheField>
    <cacheField name="Ethnicity" numFmtId="0">
      <sharedItems/>
    </cacheField>
    <cacheField name="Age" numFmtId="0">
      <sharedItems containsSemiMixedTypes="0" containsString="0" containsNumber="1" containsInteger="1" minValue="25" maxValue="64"/>
    </cacheField>
    <cacheField name="Hire Date" numFmtId="14">
      <sharedItems containsSemiMixedTypes="0" containsNonDate="0" containsDate="1" containsString="0" minDate="2002-05-24T00:00:00" maxDate="2023-10-11T00:00:00"/>
    </cacheField>
    <cacheField name="Annual Salary" numFmtId="0">
      <sharedItems containsSemiMixedTypes="0" containsString="0" containsNumber="1" containsInteger="1" minValue="48000" maxValue="207172"/>
    </cacheField>
    <cacheField name="Bonus %" numFmtId="9">
      <sharedItems containsSemiMixedTypes="0" containsString="0" containsNumber="1" minValue="0" maxValue="0.3"/>
    </cacheField>
    <cacheField name="Country" numFmtId="0">
      <sharedItems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Mishra" refreshedDate="46186.646723148151" createdVersion="8" refreshedVersion="8" minRefreshableVersion="3" recordCount="20" xr:uid="{9FAAC05B-7339-4898-86D1-955DBFC83227}">
  <cacheSource type="worksheet">
    <worksheetSource name="Table1"/>
  </cacheSource>
  <cacheFields count="13">
    <cacheField name="EEID" numFmtId="0">
      <sharedItems count="20">
        <s v="E08884"/>
        <s v="E04116"/>
        <s v="E04625"/>
        <s v="E03680"/>
        <s v="E04732"/>
        <s v="E03484"/>
        <s v="E00671"/>
        <s v="E02071"/>
        <s v="E22006"/>
        <s v="E04545"/>
        <s v="E06781"/>
        <s v="E06782"/>
        <s v="E06783"/>
        <s v="E06784"/>
        <s v="E06785"/>
        <s v="E06786"/>
        <s v="E06787"/>
        <s v="E06788"/>
        <s v="E06789"/>
        <s v="E06790"/>
      </sharedItems>
    </cacheField>
    <cacheField name="Full Name" numFmtId="0">
      <sharedItems/>
    </cacheField>
    <cacheField name="Job Title" numFmtId="0">
      <sharedItems/>
    </cacheField>
    <cacheField name="Department" numFmtId="0">
      <sharedItems/>
    </cacheField>
    <cacheField name="Business Unit" numFmtId="0">
      <sharedItems count="4">
        <s v="Speciality Products"/>
        <s v="Corporate"/>
        <s v="Research &amp; Development"/>
        <s v="Manufacturing"/>
      </sharedItems>
    </cacheField>
    <cacheField name="Gender" numFmtId="0">
      <sharedItems/>
    </cacheField>
    <cacheField name="Ethnicity" numFmtId="0">
      <sharedItems/>
    </cacheField>
    <cacheField name="Age" numFmtId="0">
      <sharedItems containsSemiMixedTypes="0" containsString="0" containsNumber="1" containsInteger="1" minValue="25" maxValue="64"/>
    </cacheField>
    <cacheField name="Hire Date" numFmtId="14">
      <sharedItems containsSemiMixedTypes="0" containsNonDate="0" containsDate="1" containsString="0" minDate="2002-05-24T00:00:00" maxDate="2023-10-11T00:00:00"/>
    </cacheField>
    <cacheField name="Annual Salary" numFmtId="0">
      <sharedItems containsSemiMixedTypes="0" containsString="0" containsNumber="1" containsInteger="1" minValue="48000" maxValue="207172"/>
    </cacheField>
    <cacheField name="Bonus %" numFmtId="9">
      <sharedItems containsSemiMixedTypes="0" containsString="0" containsNumber="1" minValue="0" maxValue="0.3"/>
    </cacheField>
    <cacheField name="Country" numFmtId="0">
      <sharedItems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Camila Silva"/>
    <s v="Sr. Manager"/>
    <s v="Marketing"/>
    <s v="Speciality Products"/>
    <s v="Female"/>
    <x v="0"/>
    <n v="64"/>
    <d v="2003-12-01T00:00:00"/>
    <n v="154828"/>
    <n v="0.13"/>
    <x v="0"/>
    <s v="Seattle"/>
  </r>
  <r>
    <x v="1"/>
    <s v="David Barnes"/>
    <s v="Director"/>
    <s v="IT"/>
    <s v="Corporate"/>
    <s v="Male"/>
    <x v="1"/>
    <n v="64"/>
    <d v="2013-11-03T00:00:00"/>
    <n v="186503"/>
    <n v="0.24"/>
    <x v="0"/>
    <s v="New York"/>
  </r>
  <r>
    <x v="2"/>
    <s v="Adam Dang"/>
    <s v="Director"/>
    <s v="Sales"/>
    <s v="Research &amp; Development"/>
    <s v="Male"/>
    <x v="2"/>
    <n v="45"/>
    <d v="2002-07-09T00:00:00"/>
    <n v="166331"/>
    <n v="0.18"/>
    <x v="1"/>
    <s v="Beijing"/>
  </r>
  <r>
    <x v="3"/>
    <s v="Elias Alvarado"/>
    <s v="Sr. Manager"/>
    <s v="IT"/>
    <s v="Manufacturing"/>
    <s v="Male"/>
    <x v="0"/>
    <n v="56"/>
    <d v="2012-01-09T00:00:00"/>
    <n v="146140"/>
    <n v="0.1"/>
    <x v="2"/>
    <s v="Sao Paulo"/>
  </r>
  <r>
    <x v="4"/>
    <s v="Eva Rivera"/>
    <s v="Director"/>
    <s v="Sales"/>
    <s v="Manufacturing"/>
    <s v="Female"/>
    <x v="0"/>
    <n v="36"/>
    <d v="2021-04-02T00:00:00"/>
    <n v="151703"/>
    <n v="0.21"/>
    <x v="0"/>
    <s v="Miami"/>
  </r>
  <r>
    <x v="5"/>
    <s v="Logan Rivera"/>
    <s v="Director"/>
    <s v="IT"/>
    <s v="Research &amp; Development"/>
    <s v="Male"/>
    <x v="0"/>
    <n v="59"/>
    <d v="2002-05-24T00:00:00"/>
    <n v="172787"/>
    <n v="0.28000000000000003"/>
    <x v="0"/>
    <s v="Chicago"/>
  </r>
  <r>
    <x v="6"/>
    <s v="Leonardo Dixon"/>
    <s v="Analyst"/>
    <s v="Sales"/>
    <s v="Speciality Products"/>
    <s v="Male"/>
    <x v="1"/>
    <n v="37"/>
    <d v="2019-09-05T00:00:00"/>
    <n v="49998"/>
    <n v="0"/>
    <x v="0"/>
    <s v="Austin"/>
  </r>
  <r>
    <x v="7"/>
    <s v="Mateo Her"/>
    <s v="Vice President"/>
    <s v="Sales"/>
    <s v="Speciality Products"/>
    <s v="Male"/>
    <x v="2"/>
    <n v="44"/>
    <d v="2014-03-02T00:00:00"/>
    <n v="207172"/>
    <n v="0.3"/>
    <x v="0"/>
    <s v="Seattle"/>
  </r>
  <r>
    <x v="8"/>
    <s v="Jose Henderson"/>
    <s v="Director"/>
    <s v="Human Resources"/>
    <s v="Speciality Products"/>
    <s v="Male"/>
    <x v="3"/>
    <n v="41"/>
    <d v="2015-04-17T00:00:00"/>
    <n v="152239"/>
    <n v="0.2"/>
    <x v="0"/>
    <s v="Miami"/>
  </r>
  <r>
    <x v="9"/>
    <s v="Abigail Mejia"/>
    <s v="Quality Engineer"/>
    <s v="Engineering"/>
    <s v="Corporate"/>
    <s v="Female"/>
    <x v="0"/>
    <n v="56"/>
    <d v="2005-02-05T00:00:00"/>
    <n v="98581"/>
    <n v="0.05"/>
    <x v="0"/>
    <s v="Phoenix"/>
  </r>
  <r>
    <x v="10"/>
    <s v="Kevin Thomas"/>
    <s v="Data Analyst"/>
    <s v="IT"/>
    <s v="Corporate"/>
    <s v="Male"/>
    <x v="2"/>
    <n v="29"/>
    <d v="2020-08-12T00:00:00"/>
    <n v="74500"/>
    <n v="7.0000000000000007E-2"/>
    <x v="3"/>
    <s v="Bangalore"/>
  </r>
  <r>
    <x v="11"/>
    <s v="Sarah Johnson"/>
    <s v="Data Analyst"/>
    <s v="Finance"/>
    <s v="Corporate"/>
    <s v="Female"/>
    <x v="1"/>
    <n v="31"/>
    <d v="2019-03-22T00:00:00"/>
    <n v="78500"/>
    <n v="0.08"/>
    <x v="0"/>
    <s v="Dallas"/>
  </r>
  <r>
    <x v="12"/>
    <s v="Mohit Sharma"/>
    <s v="Data Engineer"/>
    <s v="IT"/>
    <s v="Research &amp; Development"/>
    <s v="Male"/>
    <x v="2"/>
    <n v="28"/>
    <d v="2021-06-11T00:00:00"/>
    <n v="92500"/>
    <n v="0.1"/>
    <x v="3"/>
    <s v="Hyderabad"/>
  </r>
  <r>
    <x v="13"/>
    <s v="Neha Gupta"/>
    <s v="Business Analyst"/>
    <s v="Finance"/>
    <s v="Corporate"/>
    <s v="Female"/>
    <x v="2"/>
    <n v="27"/>
    <d v="2022-01-15T00:00:00"/>
    <n v="68500"/>
    <n v="0.05"/>
    <x v="3"/>
    <s v="Delhi"/>
  </r>
  <r>
    <x v="14"/>
    <s v="Chris Walker"/>
    <s v="Product Manager"/>
    <s v="Marketing"/>
    <s v="Research &amp; Development"/>
    <s v="Male"/>
    <x v="1"/>
    <n v="39"/>
    <d v="2017-11-07T00:00:00"/>
    <n v="132000"/>
    <n v="0.15"/>
    <x v="0"/>
    <s v="Boston"/>
  </r>
  <r>
    <x v="15"/>
    <s v="Priya Verma"/>
    <s v="HR Executive"/>
    <s v="Human Resources"/>
    <s v="Corporate"/>
    <s v="Female"/>
    <x v="2"/>
    <n v="26"/>
    <d v="2022-09-19T00:00:00"/>
    <n v="52000"/>
    <n v="0.03"/>
    <x v="3"/>
    <s v="Noida"/>
  </r>
  <r>
    <x v="16"/>
    <s v="Daniel Kim"/>
    <s v="Software Engineer"/>
    <s v="IT"/>
    <s v="Research &amp; Development"/>
    <s v="Male"/>
    <x v="2"/>
    <n v="33"/>
    <d v="2018-05-09T00:00:00"/>
    <n v="112000"/>
    <n v="0.12"/>
    <x v="4"/>
    <s v="Seoul"/>
  </r>
  <r>
    <x v="17"/>
    <s v="Ana Garcia"/>
    <s v="Accountant"/>
    <s v="Accounting"/>
    <s v="Corporate"/>
    <s v="Female"/>
    <x v="0"/>
    <n v="35"/>
    <d v="2016-04-13T00:00:00"/>
    <n v="71000"/>
    <n v="0.06"/>
    <x v="5"/>
    <s v="Mexico City"/>
  </r>
  <r>
    <x v="18"/>
    <s v="James Wilson"/>
    <s v="Operations Manager"/>
    <s v="Operations"/>
    <s v="Manufacturing"/>
    <s v="Male"/>
    <x v="1"/>
    <n v="42"/>
    <d v="2013-07-18T00:00:00"/>
    <n v="118000"/>
    <n v="0.14000000000000001"/>
    <x v="0"/>
    <s v="Houston"/>
  </r>
  <r>
    <x v="19"/>
    <s v="Riya Singh"/>
    <s v="Marketing Executive"/>
    <s v="Marketing"/>
    <s v="Speciality Products"/>
    <s v="Female"/>
    <x v="2"/>
    <n v="25"/>
    <d v="2023-10-10T00:00:00"/>
    <n v="48000"/>
    <n v="0.02"/>
    <x v="3"/>
    <s v="Mumbai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E08884"/>
    <s v="Camila Silva"/>
    <x v="0"/>
    <x v="0"/>
    <s v="Speciality Products"/>
    <s v="Female"/>
    <s v="Latino"/>
    <n v="64"/>
    <d v="2003-12-01T00:00:00"/>
    <n v="154828"/>
    <n v="0.13"/>
    <s v="United States"/>
    <s v="Seattle"/>
  </r>
  <r>
    <s v="E04116"/>
    <s v="David Barnes"/>
    <x v="1"/>
    <x v="1"/>
    <s v="Corporate"/>
    <s v="Male"/>
    <s v="Caucasian"/>
    <n v="64"/>
    <d v="2013-11-03T00:00:00"/>
    <n v="186503"/>
    <n v="0.24"/>
    <s v="United States"/>
    <s v="New York"/>
  </r>
  <r>
    <s v="E04625"/>
    <s v="Adam Dang"/>
    <x v="1"/>
    <x v="2"/>
    <s v="Research &amp; Development"/>
    <s v="Male"/>
    <s v="Asian"/>
    <n v="45"/>
    <d v="2002-07-09T00:00:00"/>
    <n v="166331"/>
    <n v="0.18"/>
    <s v="China"/>
    <s v="Beijing"/>
  </r>
  <r>
    <s v="E03680"/>
    <s v="Elias Alvarado"/>
    <x v="0"/>
    <x v="1"/>
    <s v="Manufacturing"/>
    <s v="Male"/>
    <s v="Latino"/>
    <n v="56"/>
    <d v="2012-01-09T00:00:00"/>
    <n v="146140"/>
    <n v="0.1"/>
    <s v="Brazil"/>
    <s v="Sao Paulo"/>
  </r>
  <r>
    <s v="E04732"/>
    <s v="Eva Rivera"/>
    <x v="1"/>
    <x v="2"/>
    <s v="Manufacturing"/>
    <s v="Female"/>
    <s v="Latino"/>
    <n v="36"/>
    <d v="2021-04-02T00:00:00"/>
    <n v="151703"/>
    <n v="0.21"/>
    <s v="United States"/>
    <s v="Miami"/>
  </r>
  <r>
    <s v="E03484"/>
    <s v="Logan Rivera"/>
    <x v="1"/>
    <x v="1"/>
    <s v="Research &amp; Development"/>
    <s v="Male"/>
    <s v="Latino"/>
    <n v="59"/>
    <d v="2002-05-24T00:00:00"/>
    <n v="172787"/>
    <n v="0.28000000000000003"/>
    <s v="United States"/>
    <s v="Chicago"/>
  </r>
  <r>
    <s v="E00671"/>
    <s v="Leonardo Dixon"/>
    <x v="2"/>
    <x v="2"/>
    <s v="Speciality Products"/>
    <s v="Male"/>
    <s v="Caucasian"/>
    <n v="37"/>
    <d v="2019-09-05T00:00:00"/>
    <n v="49998"/>
    <n v="0"/>
    <s v="United States"/>
    <s v="Austin"/>
  </r>
  <r>
    <s v="E02071"/>
    <s v="Mateo Her"/>
    <x v="3"/>
    <x v="2"/>
    <s v="Speciality Products"/>
    <s v="Male"/>
    <s v="Asian"/>
    <n v="44"/>
    <d v="2014-03-02T00:00:00"/>
    <n v="207172"/>
    <n v="0.3"/>
    <s v="United States"/>
    <s v="Seattle"/>
  </r>
  <r>
    <s v="E22006"/>
    <s v="Jose Henderson"/>
    <x v="1"/>
    <x v="3"/>
    <s v="Speciality Products"/>
    <s v="Male"/>
    <s v="Black"/>
    <n v="41"/>
    <d v="2015-04-17T00:00:00"/>
    <n v="152239"/>
    <n v="0.2"/>
    <s v="United States"/>
    <s v="Miami"/>
  </r>
  <r>
    <s v="E04545"/>
    <s v="Abigail Mejia"/>
    <x v="4"/>
    <x v="4"/>
    <s v="Corporate"/>
    <s v="Female"/>
    <s v="Latino"/>
    <n v="56"/>
    <d v="2005-02-05T00:00:00"/>
    <n v="98581"/>
    <n v="0.05"/>
    <s v="United States"/>
    <s v="Phoenix"/>
  </r>
  <r>
    <s v="E06781"/>
    <s v="Kevin Thomas"/>
    <x v="5"/>
    <x v="1"/>
    <s v="Corporate"/>
    <s v="Male"/>
    <s v="Asian"/>
    <n v="29"/>
    <d v="2020-08-12T00:00:00"/>
    <n v="74500"/>
    <n v="7.0000000000000007E-2"/>
    <s v="India"/>
    <s v="Bangalore"/>
  </r>
  <r>
    <s v="E06782"/>
    <s v="Sarah Johnson"/>
    <x v="5"/>
    <x v="5"/>
    <s v="Corporate"/>
    <s v="Female"/>
    <s v="Caucasian"/>
    <n v="31"/>
    <d v="2019-03-22T00:00:00"/>
    <n v="78500"/>
    <n v="0.08"/>
    <s v="United States"/>
    <s v="Dallas"/>
  </r>
  <r>
    <s v="E06783"/>
    <s v="Mohit Sharma"/>
    <x v="6"/>
    <x v="1"/>
    <s v="Research &amp; Development"/>
    <s v="Male"/>
    <s v="Asian"/>
    <n v="28"/>
    <d v="2021-06-11T00:00:00"/>
    <n v="92500"/>
    <n v="0.1"/>
    <s v="India"/>
    <s v="Hyderabad"/>
  </r>
  <r>
    <s v="E06784"/>
    <s v="Neha Gupta"/>
    <x v="7"/>
    <x v="5"/>
    <s v="Corporate"/>
    <s v="Female"/>
    <s v="Asian"/>
    <n v="27"/>
    <d v="2022-01-15T00:00:00"/>
    <n v="68500"/>
    <n v="0.05"/>
    <s v="India"/>
    <s v="Delhi"/>
  </r>
  <r>
    <s v="E06785"/>
    <s v="Chris Walker"/>
    <x v="8"/>
    <x v="0"/>
    <s v="Research &amp; Development"/>
    <s v="Male"/>
    <s v="Caucasian"/>
    <n v="39"/>
    <d v="2017-11-07T00:00:00"/>
    <n v="132000"/>
    <n v="0.15"/>
    <s v="United States"/>
    <s v="Boston"/>
  </r>
  <r>
    <s v="E06786"/>
    <s v="Priya Verma"/>
    <x v="9"/>
    <x v="3"/>
    <s v="Corporate"/>
    <s v="Female"/>
    <s v="Asian"/>
    <n v="26"/>
    <d v="2022-09-19T00:00:00"/>
    <n v="52000"/>
    <n v="0.03"/>
    <s v="India"/>
    <s v="Noida"/>
  </r>
  <r>
    <s v="E06787"/>
    <s v="Daniel Kim"/>
    <x v="10"/>
    <x v="1"/>
    <s v="Research &amp; Development"/>
    <s v="Male"/>
    <s v="Asian"/>
    <n v="33"/>
    <d v="2018-05-09T00:00:00"/>
    <n v="112000"/>
    <n v="0.12"/>
    <s v="South Korea"/>
    <s v="Seoul"/>
  </r>
  <r>
    <s v="E06788"/>
    <s v="Ana Garcia"/>
    <x v="11"/>
    <x v="6"/>
    <s v="Corporate"/>
    <s v="Female"/>
    <s v="Latino"/>
    <n v="35"/>
    <d v="2016-04-13T00:00:00"/>
    <n v="71000"/>
    <n v="0.06"/>
    <s v="Mexico"/>
    <s v="Mexico City"/>
  </r>
  <r>
    <s v="E06789"/>
    <s v="James Wilson"/>
    <x v="12"/>
    <x v="7"/>
    <s v="Manufacturing"/>
    <s v="Male"/>
    <s v="Caucasian"/>
    <n v="42"/>
    <d v="2013-07-18T00:00:00"/>
    <n v="118000"/>
    <n v="0.14000000000000001"/>
    <s v="United States"/>
    <s v="Houston"/>
  </r>
  <r>
    <s v="E06790"/>
    <s v="Riya Singh"/>
    <x v="13"/>
    <x v="0"/>
    <s v="Speciality Products"/>
    <s v="Female"/>
    <s v="Asian"/>
    <n v="25"/>
    <d v="2023-10-10T00:00:00"/>
    <n v="48000"/>
    <n v="0.02"/>
    <s v="India"/>
    <s v="Mumbai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E08884"/>
    <s v="Camila Silva"/>
    <x v="0"/>
    <x v="0"/>
    <s v="Speciality Products"/>
    <s v="Female"/>
    <s v="Latino"/>
    <n v="64"/>
    <d v="2003-12-01T00:00:00"/>
    <n v="154828"/>
    <n v="0.13"/>
    <s v="United States"/>
    <s v="Seattle"/>
  </r>
  <r>
    <s v="E04116"/>
    <s v="David Barnes"/>
    <x v="1"/>
    <x v="1"/>
    <s v="Corporate"/>
    <s v="Male"/>
    <s v="Caucasian"/>
    <n v="64"/>
    <d v="2013-11-03T00:00:00"/>
    <n v="186503"/>
    <n v="0.24"/>
    <s v="United States"/>
    <s v="New York"/>
  </r>
  <r>
    <s v="E04625"/>
    <s v="Adam Dang"/>
    <x v="1"/>
    <x v="2"/>
    <s v="Research &amp; Development"/>
    <s v="Male"/>
    <s v="Asian"/>
    <n v="45"/>
    <d v="2002-07-09T00:00:00"/>
    <n v="166331"/>
    <n v="0.18"/>
    <s v="China"/>
    <s v="Beijing"/>
  </r>
  <r>
    <s v="E03680"/>
    <s v="Elias Alvarado"/>
    <x v="0"/>
    <x v="1"/>
    <s v="Manufacturing"/>
    <s v="Male"/>
    <s v="Latino"/>
    <n v="56"/>
    <d v="2012-01-09T00:00:00"/>
    <n v="146140"/>
    <n v="0.1"/>
    <s v="Brazil"/>
    <s v="Sao Paulo"/>
  </r>
  <r>
    <s v="E04732"/>
    <s v="Eva Rivera"/>
    <x v="1"/>
    <x v="2"/>
    <s v="Manufacturing"/>
    <s v="Female"/>
    <s v="Latino"/>
    <n v="36"/>
    <d v="2021-04-02T00:00:00"/>
    <n v="151703"/>
    <n v="0.21"/>
    <s v="United States"/>
    <s v="Miami"/>
  </r>
  <r>
    <s v="E03484"/>
    <s v="Logan Rivera"/>
    <x v="1"/>
    <x v="1"/>
    <s v="Research &amp; Development"/>
    <s v="Male"/>
    <s v="Latino"/>
    <n v="59"/>
    <d v="2002-05-24T00:00:00"/>
    <n v="172787"/>
    <n v="0.28000000000000003"/>
    <s v="United States"/>
    <s v="Chicago"/>
  </r>
  <r>
    <s v="E00671"/>
    <s v="Leonardo Dixon"/>
    <x v="2"/>
    <x v="2"/>
    <s v="Speciality Products"/>
    <s v="Male"/>
    <s v="Caucasian"/>
    <n v="37"/>
    <d v="2019-09-05T00:00:00"/>
    <n v="49998"/>
    <n v="0"/>
    <s v="United States"/>
    <s v="Austin"/>
  </r>
  <r>
    <s v="E02071"/>
    <s v="Mateo Her"/>
    <x v="3"/>
    <x v="2"/>
    <s v="Speciality Products"/>
    <s v="Male"/>
    <s v="Asian"/>
    <n v="44"/>
    <d v="2014-03-02T00:00:00"/>
    <n v="207172"/>
    <n v="0.3"/>
    <s v="United States"/>
    <s v="Seattle"/>
  </r>
  <r>
    <s v="E22006"/>
    <s v="Jose Henderson"/>
    <x v="1"/>
    <x v="3"/>
    <s v="Speciality Products"/>
    <s v="Male"/>
    <s v="Black"/>
    <n v="41"/>
    <d v="2015-04-17T00:00:00"/>
    <n v="152239"/>
    <n v="0.2"/>
    <s v="United States"/>
    <s v="Miami"/>
  </r>
  <r>
    <s v="E04545"/>
    <s v="Abigail Mejia"/>
    <x v="4"/>
    <x v="4"/>
    <s v="Corporate"/>
    <s v="Female"/>
    <s v="Latino"/>
    <n v="56"/>
    <d v="2005-02-05T00:00:00"/>
    <n v="98581"/>
    <n v="0.05"/>
    <s v="United States"/>
    <s v="Phoenix"/>
  </r>
  <r>
    <s v="E06781"/>
    <s v="Kevin Thomas"/>
    <x v="5"/>
    <x v="1"/>
    <s v="Corporate"/>
    <s v="Male"/>
    <s v="Asian"/>
    <n v="29"/>
    <d v="2020-08-12T00:00:00"/>
    <n v="74500"/>
    <n v="7.0000000000000007E-2"/>
    <s v="India"/>
    <s v="Bangalore"/>
  </r>
  <r>
    <s v="E06782"/>
    <s v="Sarah Johnson"/>
    <x v="5"/>
    <x v="5"/>
    <s v="Corporate"/>
    <s v="Female"/>
    <s v="Caucasian"/>
    <n v="31"/>
    <d v="2019-03-22T00:00:00"/>
    <n v="78500"/>
    <n v="0.08"/>
    <s v="United States"/>
    <s v="Dallas"/>
  </r>
  <r>
    <s v="E06783"/>
    <s v="Mohit Sharma"/>
    <x v="6"/>
    <x v="1"/>
    <s v="Research &amp; Development"/>
    <s v="Male"/>
    <s v="Asian"/>
    <n v="28"/>
    <d v="2021-06-11T00:00:00"/>
    <n v="92500"/>
    <n v="0.1"/>
    <s v="India"/>
    <s v="Hyderabad"/>
  </r>
  <r>
    <s v="E06784"/>
    <s v="Neha Gupta"/>
    <x v="7"/>
    <x v="5"/>
    <s v="Corporate"/>
    <s v="Female"/>
    <s v="Asian"/>
    <n v="27"/>
    <d v="2022-01-15T00:00:00"/>
    <n v="68500"/>
    <n v="0.05"/>
    <s v="India"/>
    <s v="Delhi"/>
  </r>
  <r>
    <s v="E06785"/>
    <s v="Chris Walker"/>
    <x v="8"/>
    <x v="0"/>
    <s v="Research &amp; Development"/>
    <s v="Male"/>
    <s v="Caucasian"/>
    <n v="39"/>
    <d v="2017-11-07T00:00:00"/>
    <n v="132000"/>
    <n v="0.15"/>
    <s v="United States"/>
    <s v="Boston"/>
  </r>
  <r>
    <s v="E06786"/>
    <s v="Priya Verma"/>
    <x v="9"/>
    <x v="3"/>
    <s v="Corporate"/>
    <s v="Female"/>
    <s v="Asian"/>
    <n v="26"/>
    <d v="2022-09-19T00:00:00"/>
    <n v="52000"/>
    <n v="0.03"/>
    <s v="India"/>
    <s v="Noida"/>
  </r>
  <r>
    <s v="E06787"/>
    <s v="Daniel Kim"/>
    <x v="10"/>
    <x v="1"/>
    <s v="Research &amp; Development"/>
    <s v="Male"/>
    <s v="Asian"/>
    <n v="33"/>
    <d v="2018-05-09T00:00:00"/>
    <n v="112000"/>
    <n v="0.12"/>
    <s v="South Korea"/>
    <s v="Seoul"/>
  </r>
  <r>
    <s v="E06788"/>
    <s v="Ana Garcia"/>
    <x v="11"/>
    <x v="6"/>
    <s v="Corporate"/>
    <s v="Female"/>
    <s v="Latino"/>
    <n v="35"/>
    <d v="2016-04-13T00:00:00"/>
    <n v="71000"/>
    <n v="0.06"/>
    <s v="Mexico"/>
    <s v="Mexico City"/>
  </r>
  <r>
    <s v="E06789"/>
    <s v="James Wilson"/>
    <x v="12"/>
    <x v="7"/>
    <s v="Manufacturing"/>
    <s v="Male"/>
    <s v="Caucasian"/>
    <n v="42"/>
    <d v="2013-07-18T00:00:00"/>
    <n v="118000"/>
    <n v="0.14000000000000001"/>
    <s v="United States"/>
    <s v="Houston"/>
  </r>
  <r>
    <s v="E06790"/>
    <s v="Riya Singh"/>
    <x v="13"/>
    <x v="0"/>
    <s v="Speciality Products"/>
    <s v="Female"/>
    <s v="Asian"/>
    <n v="25"/>
    <d v="2023-10-10T00:00:00"/>
    <n v="48000"/>
    <n v="0.02"/>
    <s v="India"/>
    <s v="Mumbai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Camila Silva"/>
    <s v="Sr. Manager"/>
    <s v="Marketing"/>
    <x v="0"/>
    <s v="Female"/>
    <s v="Latino"/>
    <n v="64"/>
    <d v="2003-12-01T00:00:00"/>
    <n v="154828"/>
    <n v="0.13"/>
    <s v="United States"/>
    <s v="Seattle"/>
  </r>
  <r>
    <x v="1"/>
    <s v="David Barnes"/>
    <s v="Director"/>
    <s v="IT"/>
    <x v="1"/>
    <s v="Male"/>
    <s v="Caucasian"/>
    <n v="64"/>
    <d v="2013-11-03T00:00:00"/>
    <n v="186503"/>
    <n v="0.24"/>
    <s v="United States"/>
    <s v="New York"/>
  </r>
  <r>
    <x v="2"/>
    <s v="Adam Dang"/>
    <s v="Director"/>
    <s v="Sales"/>
    <x v="2"/>
    <s v="Male"/>
    <s v="Asian"/>
    <n v="45"/>
    <d v="2002-07-09T00:00:00"/>
    <n v="166331"/>
    <n v="0.18"/>
    <s v="China"/>
    <s v="Beijing"/>
  </r>
  <r>
    <x v="3"/>
    <s v="Elias Alvarado"/>
    <s v="Sr. Manager"/>
    <s v="IT"/>
    <x v="3"/>
    <s v="Male"/>
    <s v="Latino"/>
    <n v="56"/>
    <d v="2012-01-09T00:00:00"/>
    <n v="146140"/>
    <n v="0.1"/>
    <s v="Brazil"/>
    <s v="Sao Paulo"/>
  </r>
  <r>
    <x v="4"/>
    <s v="Eva Rivera"/>
    <s v="Director"/>
    <s v="Sales"/>
    <x v="3"/>
    <s v="Female"/>
    <s v="Latino"/>
    <n v="36"/>
    <d v="2021-04-02T00:00:00"/>
    <n v="151703"/>
    <n v="0.21"/>
    <s v="United States"/>
    <s v="Miami"/>
  </r>
  <r>
    <x v="5"/>
    <s v="Logan Rivera"/>
    <s v="Director"/>
    <s v="IT"/>
    <x v="2"/>
    <s v="Male"/>
    <s v="Latino"/>
    <n v="59"/>
    <d v="2002-05-24T00:00:00"/>
    <n v="172787"/>
    <n v="0.28000000000000003"/>
    <s v="United States"/>
    <s v="Chicago"/>
  </r>
  <r>
    <x v="6"/>
    <s v="Leonardo Dixon"/>
    <s v="Analyst"/>
    <s v="Sales"/>
    <x v="0"/>
    <s v="Male"/>
    <s v="Caucasian"/>
    <n v="37"/>
    <d v="2019-09-05T00:00:00"/>
    <n v="49998"/>
    <n v="0"/>
    <s v="United States"/>
    <s v="Austin"/>
  </r>
  <r>
    <x v="7"/>
    <s v="Mateo Her"/>
    <s v="Vice President"/>
    <s v="Sales"/>
    <x v="0"/>
    <s v="Male"/>
    <s v="Asian"/>
    <n v="44"/>
    <d v="2014-03-02T00:00:00"/>
    <n v="207172"/>
    <n v="0.3"/>
    <s v="United States"/>
    <s v="Seattle"/>
  </r>
  <r>
    <x v="8"/>
    <s v="Jose Henderson"/>
    <s v="Director"/>
    <s v="Human Resources"/>
    <x v="0"/>
    <s v="Male"/>
    <s v="Black"/>
    <n v="41"/>
    <d v="2015-04-17T00:00:00"/>
    <n v="152239"/>
    <n v="0.2"/>
    <s v="United States"/>
    <s v="Miami"/>
  </r>
  <r>
    <x v="9"/>
    <s v="Abigail Mejia"/>
    <s v="Quality Engineer"/>
    <s v="Engineering"/>
    <x v="1"/>
    <s v="Female"/>
    <s v="Latino"/>
    <n v="56"/>
    <d v="2005-02-05T00:00:00"/>
    <n v="98581"/>
    <n v="0.05"/>
    <s v="United States"/>
    <s v="Phoenix"/>
  </r>
  <r>
    <x v="10"/>
    <s v="Kevin Thomas"/>
    <s v="Data Analyst"/>
    <s v="IT"/>
    <x v="1"/>
    <s v="Male"/>
    <s v="Asian"/>
    <n v="29"/>
    <d v="2020-08-12T00:00:00"/>
    <n v="74500"/>
    <n v="7.0000000000000007E-2"/>
    <s v="India"/>
    <s v="Bangalore"/>
  </r>
  <r>
    <x v="11"/>
    <s v="Sarah Johnson"/>
    <s v="Data Analyst"/>
    <s v="Finance"/>
    <x v="1"/>
    <s v="Female"/>
    <s v="Caucasian"/>
    <n v="31"/>
    <d v="2019-03-22T00:00:00"/>
    <n v="78500"/>
    <n v="0.08"/>
    <s v="United States"/>
    <s v="Dallas"/>
  </r>
  <r>
    <x v="12"/>
    <s v="Mohit Sharma"/>
    <s v="Data Engineer"/>
    <s v="IT"/>
    <x v="2"/>
    <s v="Male"/>
    <s v="Asian"/>
    <n v="28"/>
    <d v="2021-06-11T00:00:00"/>
    <n v="92500"/>
    <n v="0.1"/>
    <s v="India"/>
    <s v="Hyderabad"/>
  </r>
  <r>
    <x v="13"/>
    <s v="Neha Gupta"/>
    <s v="Business Analyst"/>
    <s v="Finance"/>
    <x v="1"/>
    <s v="Female"/>
    <s v="Asian"/>
    <n v="27"/>
    <d v="2022-01-15T00:00:00"/>
    <n v="68500"/>
    <n v="0.05"/>
    <s v="India"/>
    <s v="Delhi"/>
  </r>
  <r>
    <x v="14"/>
    <s v="Chris Walker"/>
    <s v="Product Manager"/>
    <s v="Marketing"/>
    <x v="2"/>
    <s v="Male"/>
    <s v="Caucasian"/>
    <n v="39"/>
    <d v="2017-11-07T00:00:00"/>
    <n v="132000"/>
    <n v="0.15"/>
    <s v="United States"/>
    <s v="Boston"/>
  </r>
  <r>
    <x v="15"/>
    <s v="Priya Verma"/>
    <s v="HR Executive"/>
    <s v="Human Resources"/>
    <x v="1"/>
    <s v="Female"/>
    <s v="Asian"/>
    <n v="26"/>
    <d v="2022-09-19T00:00:00"/>
    <n v="52000"/>
    <n v="0.03"/>
    <s v="India"/>
    <s v="Noida"/>
  </r>
  <r>
    <x v="16"/>
    <s v="Daniel Kim"/>
    <s v="Software Engineer"/>
    <s v="IT"/>
    <x v="2"/>
    <s v="Male"/>
    <s v="Asian"/>
    <n v="33"/>
    <d v="2018-05-09T00:00:00"/>
    <n v="112000"/>
    <n v="0.12"/>
    <s v="South Korea"/>
    <s v="Seoul"/>
  </r>
  <r>
    <x v="17"/>
    <s v="Ana Garcia"/>
    <s v="Accountant"/>
    <s v="Accounting"/>
    <x v="1"/>
    <s v="Female"/>
    <s v="Latino"/>
    <n v="35"/>
    <d v="2016-04-13T00:00:00"/>
    <n v="71000"/>
    <n v="0.06"/>
    <s v="Mexico"/>
    <s v="Mexico City"/>
  </r>
  <r>
    <x v="18"/>
    <s v="James Wilson"/>
    <s v="Operations Manager"/>
    <s v="Operations"/>
    <x v="3"/>
    <s v="Male"/>
    <s v="Caucasian"/>
    <n v="42"/>
    <d v="2013-07-18T00:00:00"/>
    <n v="118000"/>
    <n v="0.14000000000000001"/>
    <s v="United States"/>
    <s v="Houston"/>
  </r>
  <r>
    <x v="19"/>
    <s v="Riya Singh"/>
    <s v="Marketing Executive"/>
    <s v="Marketing"/>
    <x v="0"/>
    <s v="Female"/>
    <s v="Asian"/>
    <n v="25"/>
    <d v="2023-10-10T00:00:00"/>
    <n v="48000"/>
    <n v="0.02"/>
    <s v="India"/>
    <s v="Mumba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F4FAB-F4A4-4E35-ABAF-E3BE2E3ED3D4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A3:B10" firstHeaderRow="1" firstDataRow="1" firstDataCol="1"/>
  <pivotFields count="13">
    <pivotField showAll="0">
      <items count="21">
        <item x="6"/>
        <item x="7"/>
        <item x="5"/>
        <item x="3"/>
        <item x="1"/>
        <item x="9"/>
        <item x="2"/>
        <item x="4"/>
        <item x="10"/>
        <item x="11"/>
        <item x="12"/>
        <item x="13"/>
        <item x="14"/>
        <item x="15"/>
        <item x="16"/>
        <item x="17"/>
        <item x="18"/>
        <item x="19"/>
        <item x="0"/>
        <item x="8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numFmtId="14" showAll="0"/>
    <pivotField dataField="1" showAll="0"/>
    <pivotField numFmtId="9" showAll="0"/>
    <pivotField axis="axisRow" showAll="0">
      <items count="7">
        <item x="2"/>
        <item x="1"/>
        <item x="3"/>
        <item x="5"/>
        <item x="4"/>
        <item x="0"/>
        <item t="default"/>
      </items>
    </pivotField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nnual Salary" fld="9" baseField="0" baseItem="0"/>
  </dataFields>
  <chartFormats count="2"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425E55-5C46-403E-9CAF-337139793A8F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>
  <location ref="A3:B12" firstHeaderRow="1" firstDataRow="1" firstDataCol="1"/>
  <pivotFields count="13">
    <pivotField showAll="0"/>
    <pivotField showAll="0"/>
    <pivotField showAll="0">
      <items count="15">
        <item x="11"/>
        <item x="2"/>
        <item x="7"/>
        <item x="5"/>
        <item x="6"/>
        <item x="1"/>
        <item x="9"/>
        <item x="13"/>
        <item x="12"/>
        <item x="8"/>
        <item x="4"/>
        <item x="10"/>
        <item x="0"/>
        <item x="3"/>
        <item t="default"/>
      </items>
    </pivotField>
    <pivotField axis="axisRow" showAll="0">
      <items count="9">
        <item x="6"/>
        <item x="4"/>
        <item x="5"/>
        <item x="3"/>
        <item x="1"/>
        <item x="0"/>
        <item x="7"/>
        <item x="2"/>
        <item t="default"/>
      </items>
    </pivotField>
    <pivotField showAll="0"/>
    <pivotField showAll="0"/>
    <pivotField showAll="0"/>
    <pivotField showAll="0"/>
    <pivotField numFmtId="14" showAll="0"/>
    <pivotField dataField="1" showAll="0"/>
    <pivotField numFmtId="9"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Annual Salary" fld="9" baseField="0" baseItem="0"/>
  </dataFields>
  <chartFormats count="13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4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4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4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4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4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4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4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E25F35-EE0C-4BB2-B9C3-7FA338BA75A9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8" firstHeaderRow="1" firstDataRow="1" firstDataCol="1"/>
  <pivotFields count="13">
    <pivotField showAll="0"/>
    <pivotField showAll="0"/>
    <pivotField axis="axisRow" showAll="0">
      <items count="15">
        <item x="11"/>
        <item x="2"/>
        <item x="7"/>
        <item x="5"/>
        <item x="6"/>
        <item x="1"/>
        <item x="9"/>
        <item x="13"/>
        <item x="12"/>
        <item x="8"/>
        <item x="4"/>
        <item x="10"/>
        <item x="0"/>
        <item x="3"/>
        <item t="default"/>
      </items>
    </pivotField>
    <pivotField showAll="0">
      <items count="9">
        <item x="6"/>
        <item x="4"/>
        <item x="5"/>
        <item x="3"/>
        <item x="1"/>
        <item x="0"/>
        <item x="7"/>
        <item x="2"/>
        <item t="default"/>
      </items>
    </pivotField>
    <pivotField showAll="0"/>
    <pivotField showAll="0"/>
    <pivotField showAll="0"/>
    <pivotField showAll="0"/>
    <pivotField numFmtId="14" showAll="0"/>
    <pivotField dataField="1" showAll="0"/>
    <pivotField numFmtId="9" showAll="0"/>
    <pivotField showAll="0"/>
    <pivotField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Annual Salar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37E3F-4F23-4B6C-848E-518FECCCE734}" name="PivotTable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8" firstHeaderRow="1" firstDataRow="1" firstDataCol="1"/>
  <pivotFields count="13">
    <pivotField axis="axisRow" showAll="0">
      <items count="21">
        <item x="6"/>
        <item x="7"/>
        <item x="5"/>
        <item x="3"/>
        <item x="1"/>
        <item x="9"/>
        <item x="2"/>
        <item x="4"/>
        <item x="10"/>
        <item x="11"/>
        <item x="12"/>
        <item x="13"/>
        <item x="14"/>
        <item x="15"/>
        <item x="16"/>
        <item x="17"/>
        <item x="18"/>
        <item x="19"/>
        <item x="0"/>
        <item x="8"/>
        <item t="default"/>
      </items>
    </pivotField>
    <pivotField showAll="0"/>
    <pivotField showAll="0"/>
    <pivotField showAll="0"/>
    <pivotField axis="axisRow" showAll="0">
      <items count="5">
        <item sd="0" x="1"/>
        <item sd="0" x="3"/>
        <item sd="0" x="2"/>
        <item sd="0" x="0"/>
        <item t="default" sd="0"/>
      </items>
    </pivotField>
    <pivotField showAll="0"/>
    <pivotField showAll="0"/>
    <pivotField showAll="0"/>
    <pivotField numFmtId="14" showAll="0"/>
    <pivotField dataField="1" showAll="0"/>
    <pivotField numFmtId="9" showAll="0"/>
    <pivotField showAll="0"/>
    <pivotField showAll="0"/>
  </pivotFields>
  <rowFields count="2">
    <field x="4"/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nnual Salary" fld="9" baseField="0" baseItem="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CC52A-012C-4A9D-83BB-DD8030CA4038}" name="Table1" displayName="Table1" ref="A1:M21" totalsRowShown="0">
  <autoFilter ref="A1:M21" xr:uid="{A3DCC52A-012C-4A9D-83BB-DD8030CA4038}"/>
  <tableColumns count="13">
    <tableColumn id="1" xr3:uid="{31D3E660-3B70-493C-B795-6C9150A1DC3E}" name="EEID"/>
    <tableColumn id="2" xr3:uid="{FDDC93A5-703E-4D4B-B03B-68C704B595D0}" name="Full Name"/>
    <tableColumn id="3" xr3:uid="{93BBE22D-D96D-466B-9C2C-4D06BE290BB4}" name="Job Title"/>
    <tableColumn id="4" xr3:uid="{178934F8-9E32-48BA-92E3-86778FD41E1E}" name="Department"/>
    <tableColumn id="5" xr3:uid="{9F29464C-FDED-4327-AE43-103DDC8907A7}" name="Business Unit"/>
    <tableColumn id="6" xr3:uid="{10E663D7-A412-4469-8BE4-416361A75E23}" name="Gender"/>
    <tableColumn id="7" xr3:uid="{D514BF21-367B-4927-BD54-C00605F8E118}" name="Ethnicity"/>
    <tableColumn id="8" xr3:uid="{5E3B3044-48AF-4256-BA01-B929A8A78639}" name="Age"/>
    <tableColumn id="9" xr3:uid="{A476BE8D-FBE9-45E6-BFF6-615AAB134254}" name="Hire Date" dataDxfId="1"/>
    <tableColumn id="10" xr3:uid="{9EC241DA-8FDC-4AC3-89E4-52B9DDF9A52D}" name="Annual Salary"/>
    <tableColumn id="11" xr3:uid="{01DCF313-3D83-4419-8C49-BDF1D539285F}" name="Bonus %" dataDxfId="0"/>
    <tableColumn id="12" xr3:uid="{3F3BE8E5-CD43-400B-9B2D-521B2CB22B94}" name="Country"/>
    <tableColumn id="13" xr3:uid="{D04732F5-FF73-4593-81B1-3C216B46DA09}" name="City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835C-BB35-4D6D-A243-A8163BEE91D8}">
  <dimension ref="A3:B10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8.44140625" bestFit="1" customWidth="1"/>
  </cols>
  <sheetData>
    <row r="3" spans="1:2" x14ac:dyDescent="0.3">
      <c r="A3" s="3" t="s">
        <v>110</v>
      </c>
      <c r="B3" t="s">
        <v>112</v>
      </c>
    </row>
    <row r="4" spans="1:2" x14ac:dyDescent="0.3">
      <c r="A4" s="4" t="s">
        <v>41</v>
      </c>
      <c r="B4" s="5">
        <v>146140</v>
      </c>
    </row>
    <row r="5" spans="1:2" x14ac:dyDescent="0.3">
      <c r="A5" s="4" t="s">
        <v>36</v>
      </c>
      <c r="B5" s="5">
        <v>166331</v>
      </c>
    </row>
    <row r="6" spans="1:2" x14ac:dyDescent="0.3">
      <c r="A6" s="4" t="s">
        <v>68</v>
      </c>
      <c r="B6" s="5">
        <v>335500</v>
      </c>
    </row>
    <row r="7" spans="1:2" x14ac:dyDescent="0.3">
      <c r="A7" s="4" t="s">
        <v>99</v>
      </c>
      <c r="B7" s="5">
        <v>71000</v>
      </c>
    </row>
    <row r="8" spans="1:2" x14ac:dyDescent="0.3">
      <c r="A8" s="4" t="s">
        <v>93</v>
      </c>
      <c r="B8" s="5">
        <v>112000</v>
      </c>
    </row>
    <row r="9" spans="1:2" x14ac:dyDescent="0.3">
      <c r="A9" s="4" t="s">
        <v>21</v>
      </c>
      <c r="B9" s="5">
        <v>1502311</v>
      </c>
    </row>
    <row r="10" spans="1:2" x14ac:dyDescent="0.3">
      <c r="A10" s="4" t="s">
        <v>111</v>
      </c>
      <c r="B10" s="5">
        <v>2333282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316C2-9A1B-480F-B9B6-BAA5FAD40E11}">
  <dimension ref="A1"/>
  <sheetViews>
    <sheetView workbookViewId="0">
      <selection activeCell="Q9" sqref="Q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54317-E3AB-44DD-BB15-5BA224AD9006}">
  <dimension ref="A3:B12"/>
  <sheetViews>
    <sheetView tabSelected="1" workbookViewId="0">
      <selection activeCell="A3" sqref="A3"/>
    </sheetView>
  </sheetViews>
  <sheetFormatPr defaultRowHeight="14.4" x14ac:dyDescent="0.3"/>
  <cols>
    <col min="1" max="1" width="15.88671875" bestFit="1" customWidth="1"/>
    <col min="2" max="2" width="18.44140625" bestFit="1" customWidth="1"/>
  </cols>
  <sheetData>
    <row r="3" spans="1:2" x14ac:dyDescent="0.3">
      <c r="A3" s="3" t="s">
        <v>110</v>
      </c>
      <c r="B3" t="s">
        <v>112</v>
      </c>
    </row>
    <row r="4" spans="1:2" x14ac:dyDescent="0.3">
      <c r="A4" s="4" t="s">
        <v>98</v>
      </c>
      <c r="B4" s="5">
        <v>71000</v>
      </c>
    </row>
    <row r="5" spans="1:2" x14ac:dyDescent="0.3">
      <c r="A5" s="4" t="s">
        <v>63</v>
      </c>
      <c r="B5" s="5">
        <v>98581</v>
      </c>
    </row>
    <row r="6" spans="1:2" x14ac:dyDescent="0.3">
      <c r="A6" s="4" t="s">
        <v>72</v>
      </c>
      <c r="B6" s="5">
        <v>147000</v>
      </c>
    </row>
    <row r="7" spans="1:2" x14ac:dyDescent="0.3">
      <c r="A7" s="4" t="s">
        <v>58</v>
      </c>
      <c r="B7" s="5">
        <v>204239</v>
      </c>
    </row>
    <row r="8" spans="1:2" x14ac:dyDescent="0.3">
      <c r="A8" s="4" t="s">
        <v>26</v>
      </c>
      <c r="B8" s="5">
        <v>784430</v>
      </c>
    </row>
    <row r="9" spans="1:2" x14ac:dyDescent="0.3">
      <c r="A9" s="4" t="s">
        <v>17</v>
      </c>
      <c r="B9" s="5">
        <v>334828</v>
      </c>
    </row>
    <row r="10" spans="1:2" x14ac:dyDescent="0.3">
      <c r="A10" s="4" t="s">
        <v>104</v>
      </c>
      <c r="B10" s="5">
        <v>118000</v>
      </c>
    </row>
    <row r="11" spans="1:2" x14ac:dyDescent="0.3">
      <c r="A11" s="4" t="s">
        <v>33</v>
      </c>
      <c r="B11" s="5">
        <v>575204</v>
      </c>
    </row>
    <row r="12" spans="1:2" x14ac:dyDescent="0.3">
      <c r="A12" s="4" t="s">
        <v>111</v>
      </c>
      <c r="B12" s="5">
        <v>2333282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523A-A1AC-4C6C-A70F-3DBC8186FAB3}">
  <dimension ref="A3:B18"/>
  <sheetViews>
    <sheetView workbookViewId="0">
      <selection activeCell="E22" sqref="E22"/>
    </sheetView>
  </sheetViews>
  <sheetFormatPr defaultRowHeight="14.4" x14ac:dyDescent="0.3"/>
  <cols>
    <col min="1" max="1" width="17.44140625" bestFit="1" customWidth="1"/>
    <col min="2" max="2" width="18.44140625" bestFit="1" customWidth="1"/>
  </cols>
  <sheetData>
    <row r="3" spans="1:2" x14ac:dyDescent="0.3">
      <c r="A3" s="3" t="s">
        <v>110</v>
      </c>
      <c r="B3" t="s">
        <v>112</v>
      </c>
    </row>
    <row r="4" spans="1:2" x14ac:dyDescent="0.3">
      <c r="A4" s="4" t="s">
        <v>97</v>
      </c>
      <c r="B4" s="5">
        <v>71000</v>
      </c>
    </row>
    <row r="5" spans="1:2" x14ac:dyDescent="0.3">
      <c r="A5" s="4" t="s">
        <v>51</v>
      </c>
      <c r="B5" s="5">
        <v>49998</v>
      </c>
    </row>
    <row r="6" spans="1:2" x14ac:dyDescent="0.3">
      <c r="A6" s="4" t="s">
        <v>80</v>
      </c>
      <c r="B6" s="5">
        <v>68500</v>
      </c>
    </row>
    <row r="7" spans="1:2" x14ac:dyDescent="0.3">
      <c r="A7" s="4" t="s">
        <v>67</v>
      </c>
      <c r="B7" s="5">
        <v>153000</v>
      </c>
    </row>
    <row r="8" spans="1:2" x14ac:dyDescent="0.3">
      <c r="A8" s="4" t="s">
        <v>76</v>
      </c>
      <c r="B8" s="5">
        <v>92500</v>
      </c>
    </row>
    <row r="9" spans="1:2" x14ac:dyDescent="0.3">
      <c r="A9" s="4" t="s">
        <v>25</v>
      </c>
      <c r="B9" s="5">
        <v>829563</v>
      </c>
    </row>
    <row r="10" spans="1:2" x14ac:dyDescent="0.3">
      <c r="A10" s="4" t="s">
        <v>88</v>
      </c>
      <c r="B10" s="5">
        <v>52000</v>
      </c>
    </row>
    <row r="11" spans="1:2" x14ac:dyDescent="0.3">
      <c r="A11" s="4" t="s">
        <v>108</v>
      </c>
      <c r="B11" s="5">
        <v>48000</v>
      </c>
    </row>
    <row r="12" spans="1:2" x14ac:dyDescent="0.3">
      <c r="A12" s="4" t="s">
        <v>103</v>
      </c>
      <c r="B12" s="5">
        <v>118000</v>
      </c>
    </row>
    <row r="13" spans="1:2" x14ac:dyDescent="0.3">
      <c r="A13" s="4" t="s">
        <v>84</v>
      </c>
      <c r="B13" s="5">
        <v>132000</v>
      </c>
    </row>
    <row r="14" spans="1:2" x14ac:dyDescent="0.3">
      <c r="A14" s="4" t="s">
        <v>62</v>
      </c>
      <c r="B14" s="5">
        <v>98581</v>
      </c>
    </row>
    <row r="15" spans="1:2" x14ac:dyDescent="0.3">
      <c r="A15" s="4" t="s">
        <v>92</v>
      </c>
      <c r="B15" s="5">
        <v>112000</v>
      </c>
    </row>
    <row r="16" spans="1:2" x14ac:dyDescent="0.3">
      <c r="A16" s="4" t="s">
        <v>16</v>
      </c>
      <c r="B16" s="5">
        <v>300968</v>
      </c>
    </row>
    <row r="17" spans="1:2" x14ac:dyDescent="0.3">
      <c r="A17" s="4" t="s">
        <v>55</v>
      </c>
      <c r="B17" s="5">
        <v>207172</v>
      </c>
    </row>
    <row r="18" spans="1:2" x14ac:dyDescent="0.3">
      <c r="A18" s="4" t="s">
        <v>111</v>
      </c>
      <c r="B18" s="5">
        <v>2333282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A057-AD64-4FB8-A26F-25DD0967CEDE}">
  <dimension ref="A3:B8"/>
  <sheetViews>
    <sheetView workbookViewId="0">
      <selection activeCell="B23" sqref="B23"/>
    </sheetView>
  </sheetViews>
  <sheetFormatPr defaultRowHeight="14.4" x14ac:dyDescent="0.3"/>
  <cols>
    <col min="1" max="1" width="23.6640625" bestFit="1" customWidth="1"/>
    <col min="2" max="2" width="18.44140625" bestFit="1" customWidth="1"/>
  </cols>
  <sheetData>
    <row r="3" spans="1:2" x14ac:dyDescent="0.3">
      <c r="A3" s="3" t="s">
        <v>110</v>
      </c>
      <c r="B3" t="s">
        <v>112</v>
      </c>
    </row>
    <row r="4" spans="1:2" x14ac:dyDescent="0.3">
      <c r="A4" s="4" t="s">
        <v>27</v>
      </c>
      <c r="B4" s="5">
        <v>629584</v>
      </c>
    </row>
    <row r="5" spans="1:2" x14ac:dyDescent="0.3">
      <c r="A5" s="4" t="s">
        <v>40</v>
      </c>
      <c r="B5" s="5">
        <v>415843</v>
      </c>
    </row>
    <row r="6" spans="1:2" x14ac:dyDescent="0.3">
      <c r="A6" s="4" t="s">
        <v>34</v>
      </c>
      <c r="B6" s="5">
        <v>675618</v>
      </c>
    </row>
    <row r="7" spans="1:2" x14ac:dyDescent="0.3">
      <c r="A7" s="4" t="s">
        <v>18</v>
      </c>
      <c r="B7" s="5">
        <v>612237</v>
      </c>
    </row>
    <row r="8" spans="1:2" x14ac:dyDescent="0.3">
      <c r="A8" s="4" t="s">
        <v>111</v>
      </c>
      <c r="B8" s="5">
        <v>2333282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D2574-5AAA-484F-B989-5CE6C18A04E0}">
  <dimension ref="A1:N21"/>
  <sheetViews>
    <sheetView zoomScale="130" zoomScaleNormal="130" workbookViewId="0">
      <selection sqref="A1:XFD1048576"/>
    </sheetView>
  </sheetViews>
  <sheetFormatPr defaultRowHeight="14.4" x14ac:dyDescent="0.3"/>
  <cols>
    <col min="2" max="2" width="13.88671875" bestFit="1" customWidth="1"/>
    <col min="3" max="3" width="17.44140625" bestFit="1" customWidth="1"/>
    <col min="4" max="4" width="15.88671875" bestFit="1" customWidth="1"/>
    <col min="5" max="5" width="21.44140625" bestFit="1" customWidth="1"/>
    <col min="6" max="6" width="9" customWidth="1"/>
    <col min="7" max="7" width="10.21875" customWidth="1"/>
    <col min="8" max="8" width="5.88671875" customWidth="1"/>
    <col min="9" max="9" width="10.6640625" customWidth="1"/>
    <col min="10" max="10" width="14.109375" customWidth="1"/>
    <col min="11" max="11" width="9.77734375" customWidth="1"/>
    <col min="12" max="12" width="11.5546875" bestFit="1" customWidth="1"/>
    <col min="13" max="13" width="10" bestFit="1" customWidth="1"/>
    <col min="14" max="14" width="7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64</v>
      </c>
      <c r="I2" s="1">
        <v>37956</v>
      </c>
      <c r="J2">
        <v>154828</v>
      </c>
      <c r="K2" s="2">
        <v>0.13</v>
      </c>
      <c r="L2" t="s">
        <v>21</v>
      </c>
      <c r="M2" t="s">
        <v>22</v>
      </c>
    </row>
    <row r="3" spans="1:14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64</v>
      </c>
      <c r="I3" s="1">
        <v>41581</v>
      </c>
      <c r="J3">
        <v>186503</v>
      </c>
      <c r="K3" s="2">
        <v>0.24</v>
      </c>
      <c r="L3" t="s">
        <v>21</v>
      </c>
      <c r="M3" t="s">
        <v>30</v>
      </c>
    </row>
    <row r="4" spans="1:14" x14ac:dyDescent="0.3">
      <c r="A4" t="s">
        <v>31</v>
      </c>
      <c r="B4" t="s">
        <v>32</v>
      </c>
      <c r="C4" t="s">
        <v>25</v>
      </c>
      <c r="D4" t="s">
        <v>33</v>
      </c>
      <c r="E4" t="s">
        <v>34</v>
      </c>
      <c r="F4" t="s">
        <v>28</v>
      </c>
      <c r="G4" t="s">
        <v>35</v>
      </c>
      <c r="H4">
        <v>45</v>
      </c>
      <c r="I4" s="1">
        <v>37446</v>
      </c>
      <c r="J4">
        <v>166331</v>
      </c>
      <c r="K4" s="2">
        <v>0.18</v>
      </c>
      <c r="L4" t="s">
        <v>36</v>
      </c>
      <c r="M4" t="s">
        <v>37</v>
      </c>
    </row>
    <row r="5" spans="1:14" x14ac:dyDescent="0.3">
      <c r="A5" t="s">
        <v>38</v>
      </c>
      <c r="B5" t="s">
        <v>39</v>
      </c>
      <c r="C5" t="s">
        <v>16</v>
      </c>
      <c r="D5" t="s">
        <v>26</v>
      </c>
      <c r="E5" t="s">
        <v>40</v>
      </c>
      <c r="F5" t="s">
        <v>28</v>
      </c>
      <c r="G5" t="s">
        <v>20</v>
      </c>
      <c r="H5">
        <v>56</v>
      </c>
      <c r="I5" s="1">
        <v>40917</v>
      </c>
      <c r="J5">
        <v>146140</v>
      </c>
      <c r="K5" s="2">
        <v>0.1</v>
      </c>
      <c r="L5" t="s">
        <v>41</v>
      </c>
      <c r="M5" t="s">
        <v>42</v>
      </c>
    </row>
    <row r="6" spans="1:14" x14ac:dyDescent="0.3">
      <c r="A6" t="s">
        <v>43</v>
      </c>
      <c r="B6" t="s">
        <v>44</v>
      </c>
      <c r="C6" t="s">
        <v>25</v>
      </c>
      <c r="D6" t="s">
        <v>33</v>
      </c>
      <c r="E6" t="s">
        <v>40</v>
      </c>
      <c r="F6" t="s">
        <v>19</v>
      </c>
      <c r="G6" t="s">
        <v>20</v>
      </c>
      <c r="H6">
        <v>36</v>
      </c>
      <c r="I6" s="1">
        <v>44288</v>
      </c>
      <c r="J6">
        <v>151703</v>
      </c>
      <c r="K6" s="2">
        <v>0.21</v>
      </c>
      <c r="L6" t="s">
        <v>21</v>
      </c>
      <c r="M6" t="s">
        <v>45</v>
      </c>
    </row>
    <row r="7" spans="1:14" x14ac:dyDescent="0.3">
      <c r="A7" t="s">
        <v>46</v>
      </c>
      <c r="B7" t="s">
        <v>47</v>
      </c>
      <c r="C7" t="s">
        <v>25</v>
      </c>
      <c r="D7" t="s">
        <v>26</v>
      </c>
      <c r="E7" t="s">
        <v>34</v>
      </c>
      <c r="F7" t="s">
        <v>28</v>
      </c>
      <c r="G7" t="s">
        <v>20</v>
      </c>
      <c r="H7">
        <v>59</v>
      </c>
      <c r="I7" s="1">
        <v>37400</v>
      </c>
      <c r="J7">
        <v>172787</v>
      </c>
      <c r="K7" s="2">
        <v>0.28000000000000003</v>
      </c>
      <c r="L7" t="s">
        <v>21</v>
      </c>
      <c r="M7" t="s">
        <v>48</v>
      </c>
    </row>
    <row r="8" spans="1:14" x14ac:dyDescent="0.3">
      <c r="A8" t="s">
        <v>49</v>
      </c>
      <c r="B8" t="s">
        <v>50</v>
      </c>
      <c r="C8" t="s">
        <v>51</v>
      </c>
      <c r="D8" t="s">
        <v>33</v>
      </c>
      <c r="E8" t="s">
        <v>18</v>
      </c>
      <c r="F8" t="s">
        <v>28</v>
      </c>
      <c r="G8" t="s">
        <v>29</v>
      </c>
      <c r="H8">
        <v>37</v>
      </c>
      <c r="I8" s="1">
        <v>43713</v>
      </c>
      <c r="J8">
        <v>49998</v>
      </c>
      <c r="K8" s="2">
        <v>0</v>
      </c>
      <c r="L8" t="s">
        <v>21</v>
      </c>
      <c r="M8" t="s">
        <v>52</v>
      </c>
    </row>
    <row r="9" spans="1:14" x14ac:dyDescent="0.3">
      <c r="A9" t="s">
        <v>53</v>
      </c>
      <c r="B9" t="s">
        <v>54</v>
      </c>
      <c r="C9" t="s">
        <v>55</v>
      </c>
      <c r="D9" t="s">
        <v>33</v>
      </c>
      <c r="E9" t="s">
        <v>18</v>
      </c>
      <c r="F9" t="s">
        <v>28</v>
      </c>
      <c r="G9" t="s">
        <v>35</v>
      </c>
      <c r="H9">
        <v>44</v>
      </c>
      <c r="I9" s="1">
        <v>41700</v>
      </c>
      <c r="J9">
        <v>207172</v>
      </c>
      <c r="K9" s="2">
        <v>0.3</v>
      </c>
      <c r="L9" t="s">
        <v>21</v>
      </c>
      <c r="M9" t="s">
        <v>22</v>
      </c>
    </row>
    <row r="10" spans="1:14" x14ac:dyDescent="0.3">
      <c r="A10" t="s">
        <v>56</v>
      </c>
      <c r="B10" t="s">
        <v>57</v>
      </c>
      <c r="C10" t="s">
        <v>25</v>
      </c>
      <c r="D10" t="s">
        <v>58</v>
      </c>
      <c r="E10" t="s">
        <v>18</v>
      </c>
      <c r="F10" t="s">
        <v>28</v>
      </c>
      <c r="G10" t="s">
        <v>59</v>
      </c>
      <c r="H10">
        <v>41</v>
      </c>
      <c r="I10" s="1">
        <v>42111</v>
      </c>
      <c r="J10">
        <v>152239</v>
      </c>
      <c r="K10" s="2">
        <v>0.2</v>
      </c>
      <c r="L10" t="s">
        <v>21</v>
      </c>
      <c r="M10" t="s">
        <v>45</v>
      </c>
    </row>
    <row r="11" spans="1:14" x14ac:dyDescent="0.3">
      <c r="A11" t="s">
        <v>60</v>
      </c>
      <c r="B11" t="s">
        <v>61</v>
      </c>
      <c r="C11" t="s">
        <v>62</v>
      </c>
      <c r="D11" t="s">
        <v>63</v>
      </c>
      <c r="E11" t="s">
        <v>27</v>
      </c>
      <c r="F11" t="s">
        <v>19</v>
      </c>
      <c r="G11" t="s">
        <v>20</v>
      </c>
      <c r="H11">
        <v>56</v>
      </c>
      <c r="I11" s="1">
        <v>38388</v>
      </c>
      <c r="J11">
        <v>98581</v>
      </c>
      <c r="K11" s="2">
        <v>0.05</v>
      </c>
      <c r="L11" t="s">
        <v>21</v>
      </c>
      <c r="M11" t="s">
        <v>64</v>
      </c>
    </row>
    <row r="12" spans="1:14" x14ac:dyDescent="0.3">
      <c r="A12" t="s">
        <v>65</v>
      </c>
      <c r="B12" t="s">
        <v>66</v>
      </c>
      <c r="C12" t="s">
        <v>67</v>
      </c>
      <c r="D12" t="s">
        <v>26</v>
      </c>
      <c r="E12" t="s">
        <v>27</v>
      </c>
      <c r="F12" t="s">
        <v>28</v>
      </c>
      <c r="G12" t="s">
        <v>35</v>
      </c>
      <c r="H12">
        <v>29</v>
      </c>
      <c r="I12" s="1">
        <v>44055</v>
      </c>
      <c r="J12">
        <v>74500</v>
      </c>
      <c r="K12" s="2">
        <v>7.0000000000000007E-2</v>
      </c>
      <c r="L12" t="s">
        <v>68</v>
      </c>
      <c r="M12" t="s">
        <v>69</v>
      </c>
    </row>
    <row r="13" spans="1:14" x14ac:dyDescent="0.3">
      <c r="A13" t="s">
        <v>70</v>
      </c>
      <c r="B13" t="s">
        <v>71</v>
      </c>
      <c r="C13" t="s">
        <v>67</v>
      </c>
      <c r="D13" t="s">
        <v>72</v>
      </c>
      <c r="E13" t="s">
        <v>27</v>
      </c>
      <c r="F13" t="s">
        <v>19</v>
      </c>
      <c r="G13" t="s">
        <v>29</v>
      </c>
      <c r="H13">
        <v>31</v>
      </c>
      <c r="I13" s="1">
        <v>43546</v>
      </c>
      <c r="J13">
        <v>78500</v>
      </c>
      <c r="K13" s="2">
        <v>0.08</v>
      </c>
      <c r="L13" t="s">
        <v>21</v>
      </c>
      <c r="M13" t="s">
        <v>73</v>
      </c>
    </row>
    <row r="14" spans="1:14" x14ac:dyDescent="0.3">
      <c r="A14" t="s">
        <v>74</v>
      </c>
      <c r="B14" t="s">
        <v>75</v>
      </c>
      <c r="C14" t="s">
        <v>76</v>
      </c>
      <c r="D14" t="s">
        <v>26</v>
      </c>
      <c r="E14" t="s">
        <v>34</v>
      </c>
      <c r="F14" t="s">
        <v>28</v>
      </c>
      <c r="G14" t="s">
        <v>35</v>
      </c>
      <c r="H14">
        <v>28</v>
      </c>
      <c r="I14" s="1">
        <v>44358</v>
      </c>
      <c r="J14">
        <v>92500</v>
      </c>
      <c r="K14" s="2">
        <v>0.1</v>
      </c>
      <c r="L14" t="s">
        <v>68</v>
      </c>
      <c r="M14" t="s">
        <v>77</v>
      </c>
    </row>
    <row r="15" spans="1:14" x14ac:dyDescent="0.3">
      <c r="A15" t="s">
        <v>78</v>
      </c>
      <c r="B15" t="s">
        <v>79</v>
      </c>
      <c r="C15" t="s">
        <v>80</v>
      </c>
      <c r="D15" t="s">
        <v>72</v>
      </c>
      <c r="E15" t="s">
        <v>27</v>
      </c>
      <c r="F15" t="s">
        <v>19</v>
      </c>
      <c r="G15" t="s">
        <v>35</v>
      </c>
      <c r="H15">
        <v>27</v>
      </c>
      <c r="I15" s="1">
        <v>44576</v>
      </c>
      <c r="J15">
        <v>68500</v>
      </c>
      <c r="K15" s="2">
        <v>0.05</v>
      </c>
      <c r="L15" t="s">
        <v>68</v>
      </c>
      <c r="M15" t="s">
        <v>81</v>
      </c>
    </row>
    <row r="16" spans="1:14" x14ac:dyDescent="0.3">
      <c r="A16" t="s">
        <v>82</v>
      </c>
      <c r="B16" t="s">
        <v>83</v>
      </c>
      <c r="C16" t="s">
        <v>84</v>
      </c>
      <c r="D16" t="s">
        <v>17</v>
      </c>
      <c r="E16" t="s">
        <v>34</v>
      </c>
      <c r="F16" t="s">
        <v>28</v>
      </c>
      <c r="G16" t="s">
        <v>29</v>
      </c>
      <c r="H16">
        <v>39</v>
      </c>
      <c r="I16" s="1">
        <v>43046</v>
      </c>
      <c r="J16">
        <v>132000</v>
      </c>
      <c r="K16" s="2">
        <v>0.15</v>
      </c>
      <c r="L16" t="s">
        <v>21</v>
      </c>
      <c r="M16" t="s">
        <v>85</v>
      </c>
    </row>
    <row r="17" spans="1:13" x14ac:dyDescent="0.3">
      <c r="A17" t="s">
        <v>86</v>
      </c>
      <c r="B17" t="s">
        <v>87</v>
      </c>
      <c r="C17" t="s">
        <v>88</v>
      </c>
      <c r="D17" t="s">
        <v>58</v>
      </c>
      <c r="E17" t="s">
        <v>27</v>
      </c>
      <c r="F17" t="s">
        <v>19</v>
      </c>
      <c r="G17" t="s">
        <v>35</v>
      </c>
      <c r="H17">
        <v>26</v>
      </c>
      <c r="I17" s="1">
        <v>44823</v>
      </c>
      <c r="J17">
        <v>52000</v>
      </c>
      <c r="K17" s="2">
        <v>0.03</v>
      </c>
      <c r="L17" t="s">
        <v>68</v>
      </c>
      <c r="M17" t="s">
        <v>89</v>
      </c>
    </row>
    <row r="18" spans="1:13" x14ac:dyDescent="0.3">
      <c r="A18" t="s">
        <v>90</v>
      </c>
      <c r="B18" t="s">
        <v>91</v>
      </c>
      <c r="C18" t="s">
        <v>92</v>
      </c>
      <c r="D18" t="s">
        <v>26</v>
      </c>
      <c r="E18" t="s">
        <v>34</v>
      </c>
      <c r="F18" t="s">
        <v>28</v>
      </c>
      <c r="G18" t="s">
        <v>35</v>
      </c>
      <c r="H18">
        <v>33</v>
      </c>
      <c r="I18" s="1">
        <v>43229</v>
      </c>
      <c r="J18">
        <v>112000</v>
      </c>
      <c r="K18" s="2">
        <v>0.12</v>
      </c>
      <c r="L18" t="s">
        <v>93</v>
      </c>
      <c r="M18" t="s">
        <v>94</v>
      </c>
    </row>
    <row r="19" spans="1:13" x14ac:dyDescent="0.3">
      <c r="A19" t="s">
        <v>95</v>
      </c>
      <c r="B19" t="s">
        <v>96</v>
      </c>
      <c r="C19" t="s">
        <v>97</v>
      </c>
      <c r="D19" t="s">
        <v>98</v>
      </c>
      <c r="E19" t="s">
        <v>27</v>
      </c>
      <c r="F19" t="s">
        <v>19</v>
      </c>
      <c r="G19" t="s">
        <v>20</v>
      </c>
      <c r="H19">
        <v>35</v>
      </c>
      <c r="I19" s="1">
        <v>42473</v>
      </c>
      <c r="J19">
        <v>71000</v>
      </c>
      <c r="K19" s="2">
        <v>0.06</v>
      </c>
      <c r="L19" t="s">
        <v>99</v>
      </c>
      <c r="M19" t="s">
        <v>100</v>
      </c>
    </row>
    <row r="20" spans="1:13" x14ac:dyDescent="0.3">
      <c r="A20" t="s">
        <v>101</v>
      </c>
      <c r="B20" t="s">
        <v>102</v>
      </c>
      <c r="C20" t="s">
        <v>103</v>
      </c>
      <c r="D20" t="s">
        <v>104</v>
      </c>
      <c r="E20" t="s">
        <v>40</v>
      </c>
      <c r="F20" t="s">
        <v>28</v>
      </c>
      <c r="G20" t="s">
        <v>29</v>
      </c>
      <c r="H20">
        <v>42</v>
      </c>
      <c r="I20" s="1">
        <v>41473</v>
      </c>
      <c r="J20">
        <v>118000</v>
      </c>
      <c r="K20" s="2">
        <v>0.14000000000000001</v>
      </c>
      <c r="L20" t="s">
        <v>21</v>
      </c>
      <c r="M20" t="s">
        <v>105</v>
      </c>
    </row>
    <row r="21" spans="1:13" x14ac:dyDescent="0.3">
      <c r="A21" t="s">
        <v>106</v>
      </c>
      <c r="B21" t="s">
        <v>107</v>
      </c>
      <c r="C21" t="s">
        <v>108</v>
      </c>
      <c r="D21" t="s">
        <v>17</v>
      </c>
      <c r="E21" t="s">
        <v>18</v>
      </c>
      <c r="F21" t="s">
        <v>19</v>
      </c>
      <c r="G21" t="s">
        <v>35</v>
      </c>
      <c r="H21">
        <v>25</v>
      </c>
      <c r="I21" s="1">
        <v>45209</v>
      </c>
      <c r="J21">
        <v>48000</v>
      </c>
      <c r="K21" s="2">
        <v>0.02</v>
      </c>
      <c r="L21" t="s">
        <v>68</v>
      </c>
      <c r="M21" t="s">
        <v>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Dashboard</vt:lpstr>
      <vt:lpstr>Sheet3</vt:lpstr>
      <vt:lpstr>Sheet4</vt:lpstr>
      <vt:lpstr>Sheet5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mishra</dc:creator>
  <cp:lastModifiedBy>yash mishra</cp:lastModifiedBy>
  <dcterms:created xsi:type="dcterms:W3CDTF">2026-06-13T09:53:11Z</dcterms:created>
  <dcterms:modified xsi:type="dcterms:W3CDTF">2026-06-13T11:24:04Z</dcterms:modified>
</cp:coreProperties>
</file>