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828A2391-211D-47A6-9477-DCBC9035B98B}" xr6:coauthVersionLast="47" xr6:coauthVersionMax="47" xr10:uidLastSave="{00000000-0000-0000-0000-000000000000}"/>
  <bookViews>
    <workbookView xWindow="-108" yWindow="-108" windowWidth="23256" windowHeight="13176" activeTab="1" xr2:uid="{36AABD16-FB55-4B62-8B5C-5D17D78421D7}"/>
  </bookViews>
  <sheets>
    <sheet name="Sheet1" sheetId="1" r:id="rId1"/>
    <sheet name="Micros" sheetId="9" r:id="rId2"/>
    <sheet name="Conditional Formating" sheetId="8" r:id="rId3"/>
    <sheet name="DATA VALIDATION" sheetId="3" r:id="rId4"/>
    <sheet name="Sheet2" sheetId="2" r:id="rId5"/>
    <sheet name="VLOOKUP" sheetId="4" r:id="rId6"/>
    <sheet name="XLOOKUP" sheetId="6" r:id="rId7"/>
    <sheet name="INDEXING+MATCHING" sheetId="7" r:id="rId8"/>
    <sheet name="HLOOKUP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K4" i="7"/>
  <c r="I4" i="7"/>
  <c r="G4" i="7"/>
  <c r="E6" i="6" a="1"/>
  <c r="E6" i="6" s="1"/>
  <c r="O5" i="5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<sst xmlns="http://schemas.openxmlformats.org/spreadsheetml/2006/main" count="624" uniqueCount="196">
  <si>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</si>
  <si>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</si>
  <si>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</si>
  <si>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</si>
  <si>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</si>
  <si>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</si>
  <si>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</si>
  <si>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</si>
  <si>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</si>
  <si>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</si>
  <si>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</si>
  <si>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</si>
  <si>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</si>
  <si>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</si>
  <si>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</si>
  <si>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</si>
  <si>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</si>
  <si>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</si>
  <si>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</si>
  <si>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</si>
  <si>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</si>
  <si>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</si>
  <si>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</si>
  <si>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</si>
  <si>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</si>
  <si>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</si>
  <si>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</si>
  <si>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</si>
  <si>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</si>
  <si>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</si>
  <si>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</si>
  <si>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</si>
  <si>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</si>
  <si>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</si>
  <si>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</si>
  <si>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</si>
  <si>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</si>
  <si>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</si>
  <si>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</si>
  <si>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</si>
  <si>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</si>
  <si>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</si>
  <si>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</si>
  <si>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</si>
  <si>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</si>
  <si>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</si>
  <si>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</si>
  <si>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</si>
  <si>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</si>
  <si>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</si>
  <si>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</si>
  <si>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</si>
  <si>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</si>
  <si>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</si>
  <si>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</si>
  <si>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</si>
  <si>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</si>
  <si>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</si>
  <si>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</si>
  <si>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</si>
  <si>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</si>
  <si>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</si>
  <si>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</si>
  <si>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</si>
  <si>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</si>
  <si>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</si>
  <si>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</si>
  <si>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</si>
  <si>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</si>
  <si>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</si>
  <si>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</si>
  <si>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</si>
  <si>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</si>
  <si>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</si>
  <si>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</si>
  <si>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</si>
  <si>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</si>
  <si>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</si>
  <si>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</si>
  <si>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</si>
  <si>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</si>
  <si>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</si>
  <si>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</si>
  <si>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</si>
  <si>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</si>
  <si>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</si>
  <si>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</si>
  <si>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</si>
  <si>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</si>
  <si>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</si>
  <si>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</si>
  <si>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</si>
  <si>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</si>
  <si>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</si>
  <si>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</si>
  <si>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</si>
  <si>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</si>
  <si>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</si>
  <si>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</si>
  <si>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</si>
  <si>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</si>
  <si>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</si>
  <si>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</si>
  <si>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</si>
  <si>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</si>
  <si>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</si>
  <si>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</si>
  <si>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</si>
  <si>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</si>
  <si>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</si>
  <si>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</si>
  <si>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</si>
  <si>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</si>
  <si>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</si>
  <si>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</si>
  <si>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</si>
  <si>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</si>
  <si>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</si>
  <si>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</si>
  <si>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</si>
  <si>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</si>
  <si>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</si>
  <si>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</si>
  <si>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</si>
  <si>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</si>
  <si>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</si>
  <si>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</si>
  <si>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</si>
  <si>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</si>
  <si>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</si>
  <si>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</si>
  <si>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</si>
  <si>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</si>
  <si>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</si>
  <si>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</si>
  <si>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</si>
  <si>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</si>
  <si>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</si>
  <si>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</si>
  <si>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</si>
  <si>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</si>
  <si>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</si>
  <si>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</si>
  <si>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</si>
  <si>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</si>
  <si>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</si>
  <si>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</si>
  <si>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</si>
  <si>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</si>
  <si>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</si>
  <si>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</si>
  <si>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</si>
  <si>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</si>
  <si>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</si>
  <si>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</si>
  <si>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</si>
  <si>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</si>
  <si>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</si>
  <si>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</si>
  <si>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</si>
  <si>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</si>
  <si>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</si>
  <si>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</si>
  <si>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</si>
  <si>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</si>
  <si>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</si>
  <si>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</si>
  <si>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</si>
  <si>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</si>
  <si>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</si>
  <si>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</si>
  <si>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</si>
  <si>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</si>
  <si>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</si>
  <si>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</si>
  <si>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</si>
  <si>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</si>
  <si>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</si>
  <si>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</si>
  <si>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</si>
  <si>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</si>
  <si>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</si>
  <si>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</si>
  <si>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</si>
  <si>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</si>
  <si>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</si>
  <si>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</si>
  <si>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</si>
  <si>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</si>
  <si>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</si>
  <si>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</si>
  <si>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</si>
  <si>
    <t>Index</t>
  </si>
  <si>
    <t>Matching</t>
  </si>
  <si>
    <t>index+matching</t>
  </si>
  <si>
    <t>indexing+matching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</si>
</sst>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2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</xdr:row>
          <xdr:rowOff>7620</xdr:rowOff>
        </xdr:from>
        <xdr:to>
          <xdr:col>13</xdr:col>
          <xdr:colOff>7620</xdr:colOff>
          <xdr:row>5</xdr:row>
          <xdr:rowOff>160020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21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20"/>
    <tableColumn id="2" xr3:uid="{3366B324-AECE-449B-8087-184B669CC456}" name="Category" dataDxfId="19"/>
    <tableColumn id="3" xr3:uid="{D3B7CE3B-A605-4012-B519-240A6F33AA63}" name="Sub-Category"/>
    <tableColumn id="4" xr3:uid="{AD671E78-1343-4A10-BCF8-447D4E21159A}" name="Price" dataDxfId="18"/>
    <tableColumn id="5" xr3:uid="{1831F971-D364-40E1-AF66-ED254589B6D3}" name="Payment Mode" dataDxfId="17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7062F-FD32-48B2-876D-A544E046A7E1}" name="Table15" displayName="Table15" ref="B1:G17" totalsRowShown="0" headerRowDxfId="4">
  <autoFilter ref="B1:G17" xr:uid="{3527062F-FD32-48B2-876D-A544E046A7E1}"/>
  <sortState xmlns:xlrd2="http://schemas.microsoft.com/office/spreadsheetml/2017/richdata2" ref="B2:G17">
    <sortCondition ref="B2:B17"/>
  </sortState>
  <tableColumns count="6">
    <tableColumn id="1" xr3:uid="{1A53AB6B-831E-4C3E-A6F0-BED58E468FB5}" name="Date" dataDxfId="3"/>
    <tableColumn id="2" xr3:uid="{D40DF70C-2785-46BC-8A4B-989168E825F3}" name="Category" dataDxfId="2"/>
    <tableColumn id="3" xr3:uid="{70B3A278-BFA1-46A1-AA5E-9FFBEE6A8102}" name="Sub-Category"/>
    <tableColumn id="4" xr3:uid="{BC32E9FD-E586-4E4F-A86B-7E1A34CB8959}" name="Price" dataDxfId="1"/>
    <tableColumn id="5" xr3:uid="{70B13736-BC1D-470D-A912-45DAB4B516B8}" name="Payment Mode" dataDxfId="0"/>
    <tableColumn id="6" xr3:uid="{F3C21BE2-041E-44BE-8E32-C45417699102}" name="Column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350279-FFA6-4E3F-83AE-5CC79A18BE81}" name="Table14" displayName="Table14" ref="B1:G17" totalsRowShown="0" headerRowDxfId="11">
  <autoFilter ref="B1:G17" xr:uid="{EA350279-FFA6-4E3F-83AE-5CC79A18BE81}"/>
  <sortState xmlns:xlrd2="http://schemas.microsoft.com/office/spreadsheetml/2017/richdata2" ref="B2:G17">
    <sortCondition ref="G3:G18"/>
  </sortState>
  <tableColumns count="6">
    <tableColumn id="1" xr3:uid="{47D7F1D7-65CD-4EFE-803F-0CF8E888529A}" name="Date" dataDxfId="10"/>
    <tableColumn id="2" xr3:uid="{9747EF65-A771-46F2-B698-57FA39FC0142}" name="Category" dataDxfId="9"/>
    <tableColumn id="3" xr3:uid="{85508728-77C7-4E2C-9C4F-4BB0C2FC30CF}" name="Sub-Category"/>
    <tableColumn id="4" xr3:uid="{562D17C2-BAB4-44F5-8C54-96CF43071D6C}" name="Price" dataDxfId="8"/>
    <tableColumn id="5" xr3:uid="{425AB7FA-3D63-4268-9F1C-C9E6895D722C}" name="Payment Mode" dataDxfId="7"/>
    <tableColumn id="6" xr3:uid="{52B09027-8FA2-4818-9B1E-1774BD195794}" name="Column1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16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15"/>
    <tableColumn id="2" xr3:uid="{74FB932E-8316-47A4-AA70-C8F96BD39DF0}" name="Category" dataDxfId="14"/>
    <tableColumn id="3" xr3:uid="{27E47DE0-5CFE-4C91-931B-2BCDECD3FF33}" name="Sub-Category"/>
    <tableColumn id="4" xr3:uid="{5D6A0EA3-CE4B-49C8-8E73-D89470B1635A}" name="Price" dataDxfId="13"/>
    <tableColumn id="5" xr3:uid="{090DFDA1-04B0-4409-90BC-386F3230118D}" name="Payment Mode" dataDxfId="12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G18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2E75-2BE6-40FF-BC0C-9B4D8405D35C}">
  <dimension ref="B1:G17"/>
  <sheetViews>
    <sheetView tabSelected="1" workbookViewId="0">
      <selection activeCell="K4" sqref="K4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</cols>
  <sheetData>
    <row r="1" spans="2:7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</row>
    <row r="2" spans="2:7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</row>
    <row r="3" spans="2:7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</row>
    <row r="4" spans="2:7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</row>
    <row r="5" spans="2:7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</row>
    <row r="6" spans="2:7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7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7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7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7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7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7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7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7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7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7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</sheetData>
  <conditionalFormatting sqref="E2:E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{E01B2558-7099-45B1-9048-90AEC56CC85E}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{7AD6DF6A-88A7-4C3C-98BE-B45CADB48F4F}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{7EB1DB64-4A28-471E-8ABE-5C3C23543217}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{D5BD4AC2-5379-427B-AC47-D2CF84AAED2D}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{C9EA967D-00AE-475D-A82A-E4C35E4C0FA6}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{CDB298F6-C556-4C35-B83F-A9BCD4DFC411}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{20CED447-B4E3-438D-B8A8-BFFE4FC16631}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{3D2C0F5D-0BAE-4C4C-8EA6-FB10D11BAA69}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{8707AF2B-573F-4551-972B-465FA28C1E9F}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{F59BD240-9AE8-4412-B325-F87D7E90C740}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{8AF172DB-5E32-428B-BF8F-47C36783E3A3}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{65911E49-9BEF-4EBC-A637-56FE45858C63}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{AFF886A6-1472-4B21-A849-43E57D856BF0}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{53C83F9D-C100-4890-9CD7-BCD91B964FC3}</x14:id>
        </ext>
      </extLst>
    </cfRule>
  </conditionalFormatting>
  <dataValidations count="1">
    <dataValidation type="list" allowBlank="1" showInputMessage="1" showErrorMessage="1" sqref="F2:F17" xr:uid="{35D0F179-9681-40AE-8269-227FB7984D8A}">
      <formula1>"UPI,Cash,Card"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8" r:id="rId3" name="Button 2">
              <controlPr defaultSize="0" print="0" autoFill="0" autoPict="0" macro="[0]!data_formating">
                <anchor moveWithCells="1" sizeWithCells="1">
                  <from>
                    <xdr:col>9</xdr:col>
                    <xdr:colOff>0</xdr:colOff>
                    <xdr:row>1</xdr:row>
                    <xdr:rowOff>7620</xdr:rowOff>
                  </from>
                  <to>
                    <xdr:col>13</xdr:col>
                    <xdr:colOff>7620</xdr:colOff>
                    <xdr:row>5</xdr:row>
                    <xdr:rowOff>160020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B2558-7099-45B1-9048-90AEC56CC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D6DF6A-88A7-4C3C-98BE-B45CADB48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B1DB64-4A28-471E-8ABE-5C3C235432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BD4AC2-5379-427B-AC47-D2CF84AAED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EA967D-00AE-475D-A82A-E4C35E4C0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B298F6-C556-4C35-B83F-A9BCD4DFC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CED447-B4E3-438D-B8A8-BFFE4FC166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2C0F5D-0BAE-4C4C-8EA6-FB10D11BA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07AF2B-573F-4551-972B-465FA28C1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59BD240-9AE8-4412-B325-F87D7E90C7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AF172DB-5E32-428B-BF8F-47C36783E3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911E49-9BEF-4EBC-A637-56FE45858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F886A6-1472-4B21-A849-43E57D856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C83F9D-C100-4890-9CD7-BCD91B964F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D2ED-8436-4C50-8EB1-DD098BFA116B}">
  <dimension ref="B1:J17"/>
  <sheetViews>
    <sheetView workbookViewId="0">
      <selection activeCell="K1" sqref="K1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</cols>
  <sheetData>
    <row r="1" spans="2:10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J1">
        <v>10</v>
      </c>
    </row>
    <row r="2" spans="2:10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J2">
        <v>20</v>
      </c>
    </row>
    <row r="3" spans="2:10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J3">
        <v>30</v>
      </c>
    </row>
    <row r="4" spans="2:10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J4">
        <v>40</v>
      </c>
    </row>
    <row r="5" spans="2:10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J5">
        <v>110</v>
      </c>
    </row>
    <row r="6" spans="2:10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  <c r="J6">
        <v>100</v>
      </c>
    </row>
    <row r="7" spans="2:10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  <c r="J7">
        <v>3</v>
      </c>
    </row>
    <row r="8" spans="2:10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  <c r="J8">
        <v>2</v>
      </c>
    </row>
    <row r="9" spans="2:10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  <c r="J9">
        <v>15</v>
      </c>
    </row>
    <row r="10" spans="2:10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0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0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0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0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0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0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</sheetData>
  <conditionalFormatting sqref="K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{7F957013-3B43-4E0C-8009-04D226170C9D}</x14:id>
        </ext>
      </extLst>
    </cfRule>
  </conditionalFormatting>
  <conditionalFormatting sqref="C2:C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{A4F1AED8-2526-41C9-B502-21EE8EF6768F}</x14:id>
        </ext>
      </extLst>
    </cfRule>
  </conditionalFormatting>
  <conditionalFormatting sqref="C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{902D29E2-5BED-4B61-B9CE-75E64FF7CE82}</x14:id>
        </ext>
      </extLst>
    </cfRule>
  </conditionalFormatting>
  <conditionalFormatting sqref="B2:B17">
    <cfRule type="top10" dxfId="6" priority="6" rank="3"/>
  </conditionalFormatting>
  <conditionalFormatting sqref="F2:F1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{F99391CD-EB8C-464A-AC2F-389ACDC535A9}</x14:id>
        </ext>
      </extLst>
    </cfRule>
  </conditionalFormatting>
  <conditionalFormatting sqref="E1:E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{42EF53DB-EB01-4081-B4BB-B5B7737AE901}</x14:id>
        </ext>
      </extLst>
    </cfRule>
  </conditionalFormatting>
  <conditionalFormatting sqref="J1:J1048576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957013-3B43-4E0C-8009-04D22617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4F1AED8-2526-41C9-B502-21EE8EF676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C2:C17</xm:sqref>
        </x14:conditionalFormatting>
        <x14:conditionalFormatting xmlns:xm="http://schemas.microsoft.com/office/excel/2006/main">
          <x14:cfRule type="dataBar" id="{902D29E2-5BED-4B61-B9CE-75E64FF7C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containsText" priority="5" operator="containsText" id="{D5091969-E584-4276-A473-07C4B556D9FB}">
            <xm:f>NOT(ISERROR(SEARCH($C$9,C1)))</xm:f>
            <xm:f>$C$9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dataBar" id="{F99391CD-EB8C-464A-AC2F-389ACDC53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F2:F17</xm:sqref>
        </x14:conditionalFormatting>
        <x14:conditionalFormatting xmlns:xm="http://schemas.microsoft.com/office/excel/2006/main">
          <x14:cfRule type="dataBar" id="{42EF53DB-EB01-4081-B4BB-B5B7737AE9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topLeftCell="A4" workbookViewId="0">
      <selection sqref="A1:D31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123</v>
      </c>
      <c r="G2">
        <f>VLOOKUP(F2,A2:D31,4,FALSE)</f>
        <v>119746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94E4-1884-4200-888E-A676CE8404DC}">
  <dimension ref="A1:E31"/>
  <sheetViews>
    <sheetView topLeftCell="A4" workbookViewId="0">
      <selection activeCell="E4" sqref="E4:E5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</row>
    <row r="2" spans="1:5" x14ac:dyDescent="0.3">
      <c r="A2" t="s">
        <v>105</v>
      </c>
      <c r="B2" t="s">
        <v>106</v>
      </c>
      <c r="C2" t="s">
        <v>107</v>
      </c>
      <c r="D2">
        <v>141604</v>
      </c>
    </row>
    <row r="3" spans="1:5" x14ac:dyDescent="0.3">
      <c r="A3" t="s">
        <v>108</v>
      </c>
      <c r="B3" t="s">
        <v>109</v>
      </c>
      <c r="C3" t="s">
        <v>110</v>
      </c>
      <c r="D3">
        <v>99975</v>
      </c>
    </row>
    <row r="4" spans="1:5" x14ac:dyDescent="0.3">
      <c r="A4" t="s">
        <v>111</v>
      </c>
      <c r="B4" t="s">
        <v>112</v>
      </c>
      <c r="C4" t="s">
        <v>113</v>
      </c>
      <c r="D4">
        <v>163099</v>
      </c>
      <c r="E4" t="s">
        <v>123</v>
      </c>
    </row>
    <row r="5" spans="1:5" x14ac:dyDescent="0.3">
      <c r="A5" t="s">
        <v>114</v>
      </c>
      <c r="B5" t="s">
        <v>115</v>
      </c>
      <c r="C5" t="s">
        <v>116</v>
      </c>
      <c r="D5">
        <v>84913</v>
      </c>
      <c r="E5" t="s">
        <v>102</v>
      </c>
    </row>
    <row r="6" spans="1:5" x14ac:dyDescent="0.3">
      <c r="A6" t="s">
        <v>117</v>
      </c>
      <c r="B6" t="s">
        <v>118</v>
      </c>
      <c r="C6" t="s">
        <v>119</v>
      </c>
      <c r="D6">
        <v>95409</v>
      </c>
      <c r="E6" t="str" cm="1">
        <f t="array" ref="E6">_xlfn.XLOOKUP(E4,A2:A31,(_xlfn.XLOOKUP(E5,B1:D1,B2:D31)))</f>
        <v>Ruby Barnes</v>
      </c>
    </row>
    <row r="7" spans="1:5" x14ac:dyDescent="0.3">
      <c r="A7" t="s">
        <v>120</v>
      </c>
      <c r="B7" t="s">
        <v>121</v>
      </c>
      <c r="C7" t="s">
        <v>122</v>
      </c>
      <c r="D7">
        <v>50994</v>
      </c>
    </row>
    <row r="8" spans="1:5" x14ac:dyDescent="0.3">
      <c r="A8" t="s">
        <v>123</v>
      </c>
      <c r="B8" t="s">
        <v>124</v>
      </c>
      <c r="C8" t="s">
        <v>125</v>
      </c>
      <c r="D8">
        <v>119746</v>
      </c>
    </row>
    <row r="9" spans="1:5" x14ac:dyDescent="0.3">
      <c r="A9" t="s">
        <v>126</v>
      </c>
      <c r="B9" t="s">
        <v>127</v>
      </c>
      <c r="C9" t="s">
        <v>128</v>
      </c>
      <c r="D9">
        <v>41336</v>
      </c>
    </row>
    <row r="10" spans="1:5" x14ac:dyDescent="0.3">
      <c r="A10" t="s">
        <v>129</v>
      </c>
      <c r="B10" t="s">
        <v>130</v>
      </c>
      <c r="C10" t="s">
        <v>125</v>
      </c>
      <c r="D10">
        <v>113527</v>
      </c>
    </row>
    <row r="11" spans="1:5" x14ac:dyDescent="0.3">
      <c r="A11" t="s">
        <v>131</v>
      </c>
      <c r="B11" t="s">
        <v>132</v>
      </c>
      <c r="C11" t="s">
        <v>119</v>
      </c>
      <c r="D11">
        <v>77203</v>
      </c>
    </row>
    <row r="12" spans="1:5" x14ac:dyDescent="0.3">
      <c r="A12" t="s">
        <v>133</v>
      </c>
      <c r="B12" t="s">
        <v>134</v>
      </c>
      <c r="C12" t="s">
        <v>107</v>
      </c>
      <c r="D12">
        <v>157333</v>
      </c>
    </row>
    <row r="13" spans="1:5" x14ac:dyDescent="0.3">
      <c r="A13" t="s">
        <v>135</v>
      </c>
      <c r="B13" t="s">
        <v>136</v>
      </c>
      <c r="C13" t="s">
        <v>137</v>
      </c>
      <c r="D13">
        <v>109851</v>
      </c>
    </row>
    <row r="14" spans="1:5" x14ac:dyDescent="0.3">
      <c r="A14" t="s">
        <v>138</v>
      </c>
      <c r="B14" t="s">
        <v>139</v>
      </c>
      <c r="C14" t="s">
        <v>125</v>
      </c>
      <c r="D14">
        <v>105086</v>
      </c>
    </row>
    <row r="15" spans="1:5" x14ac:dyDescent="0.3">
      <c r="A15" t="s">
        <v>140</v>
      </c>
      <c r="B15" t="s">
        <v>141</v>
      </c>
      <c r="C15" t="s">
        <v>107</v>
      </c>
      <c r="D15">
        <v>146742</v>
      </c>
    </row>
    <row r="16" spans="1:5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8CE1730E-706B-4A0D-84D1-883AFB72A36B}">
      <formula1>$A$2:$A$31</formula1>
    </dataValidation>
    <dataValidation type="list" allowBlank="1" showInputMessage="1" showErrorMessage="1" sqref="E5" xr:uid="{ECE0FA3E-733D-4CF3-BF6C-40CCB43A818F}">
      <formula1>$B$1:$D$1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6209-3C69-45D4-9A93-4218AE0FE181}">
  <dimension ref="A1:M31"/>
  <sheetViews>
    <sheetView workbookViewId="0">
      <selection activeCell="E3" sqref="E3"/>
    </sheetView>
  </sheetViews>
  <sheetFormatPr defaultRowHeight="14.4" x14ac:dyDescent="0.3"/>
  <cols>
    <col min="2" max="2" width="14.44140625" bestFit="1" customWidth="1"/>
    <col min="3" max="3" width="23.6640625" bestFit="1" customWidth="1"/>
    <col min="4" max="4" width="11.77734375" bestFit="1" customWidth="1"/>
    <col min="7" max="7" width="11.77734375" bestFit="1" customWidth="1"/>
    <col min="11" max="11" width="13.77734375" bestFit="1" customWidth="1"/>
    <col min="13" max="13" width="16.109375" bestFit="1" customWidth="1"/>
  </cols>
  <sheetData>
    <row r="1" spans="1:13" x14ac:dyDescent="0.3">
      <c r="A1" t="s">
        <v>101</v>
      </c>
      <c r="B1" t="s">
        <v>102</v>
      </c>
      <c r="C1" t="s">
        <v>103</v>
      </c>
      <c r="D1" t="s">
        <v>104</v>
      </c>
    </row>
    <row r="2" spans="1:13" x14ac:dyDescent="0.3">
      <c r="A2" t="s">
        <v>105</v>
      </c>
      <c r="B2" t="s">
        <v>106</v>
      </c>
      <c r="C2" t="s">
        <v>107</v>
      </c>
      <c r="D2">
        <v>141604</v>
      </c>
    </row>
    <row r="3" spans="1:13" x14ac:dyDescent="0.3">
      <c r="A3" t="s">
        <v>108</v>
      </c>
      <c r="B3" t="s">
        <v>109</v>
      </c>
      <c r="C3" t="s">
        <v>110</v>
      </c>
      <c r="D3">
        <v>99975</v>
      </c>
      <c r="E3" t="s">
        <v>105</v>
      </c>
      <c r="G3" t="s">
        <v>192</v>
      </c>
      <c r="I3" t="s">
        <v>193</v>
      </c>
      <c r="K3" t="s">
        <v>194</v>
      </c>
      <c r="M3" t="s">
        <v>195</v>
      </c>
    </row>
    <row r="4" spans="1:13" x14ac:dyDescent="0.3">
      <c r="A4" t="s">
        <v>111</v>
      </c>
      <c r="B4" t="s">
        <v>112</v>
      </c>
      <c r="C4" t="s">
        <v>113</v>
      </c>
      <c r="D4">
        <v>163099</v>
      </c>
      <c r="E4" t="s">
        <v>103</v>
      </c>
      <c r="G4" t="str">
        <f>INDEX(B2:B31,6)</f>
        <v>Joshua Gupta</v>
      </c>
      <c r="I4">
        <f>MATCH(E3,A2:A31,0)</f>
        <v>1</v>
      </c>
      <c r="K4" t="str">
        <f>INDEX(B2:B31,MATCH(E3,A2:A31,0))</f>
        <v>Emily Davis</v>
      </c>
      <c r="M4" t="str">
        <f>INDEX(C2:C31,MATCH(E3,A2:A31,0))</f>
        <v>Sr. Manager</v>
      </c>
    </row>
    <row r="5" spans="1:13" x14ac:dyDescent="0.3">
      <c r="A5" t="s">
        <v>114</v>
      </c>
      <c r="B5" t="s">
        <v>115</v>
      </c>
      <c r="C5" t="s">
        <v>116</v>
      </c>
      <c r="D5">
        <v>84913</v>
      </c>
    </row>
    <row r="6" spans="1:13" x14ac:dyDescent="0.3">
      <c r="A6" t="s">
        <v>117</v>
      </c>
      <c r="B6" t="s">
        <v>118</v>
      </c>
      <c r="C6" t="s">
        <v>119</v>
      </c>
      <c r="D6">
        <v>95409</v>
      </c>
    </row>
    <row r="7" spans="1:13" x14ac:dyDescent="0.3">
      <c r="A7" t="s">
        <v>120</v>
      </c>
      <c r="B7" t="s">
        <v>121</v>
      </c>
      <c r="C7" t="s">
        <v>122</v>
      </c>
      <c r="D7">
        <v>50994</v>
      </c>
    </row>
    <row r="8" spans="1:13" x14ac:dyDescent="0.3">
      <c r="A8" t="s">
        <v>123</v>
      </c>
      <c r="B8" t="s">
        <v>124</v>
      </c>
      <c r="C8" t="s">
        <v>125</v>
      </c>
      <c r="D8">
        <v>119746</v>
      </c>
    </row>
    <row r="9" spans="1:13" x14ac:dyDescent="0.3">
      <c r="A9" t="s">
        <v>126</v>
      </c>
      <c r="B9" t="s">
        <v>127</v>
      </c>
      <c r="C9" t="s">
        <v>128</v>
      </c>
      <c r="D9">
        <v>41336</v>
      </c>
    </row>
    <row r="10" spans="1:13" x14ac:dyDescent="0.3">
      <c r="A10" t="s">
        <v>129</v>
      </c>
      <c r="B10" t="s">
        <v>130</v>
      </c>
      <c r="C10" t="s">
        <v>125</v>
      </c>
      <c r="D10">
        <v>113527</v>
      </c>
    </row>
    <row r="11" spans="1:13" x14ac:dyDescent="0.3">
      <c r="A11" t="s">
        <v>131</v>
      </c>
      <c r="B11" t="s">
        <v>132</v>
      </c>
      <c r="C11" t="s">
        <v>119</v>
      </c>
      <c r="D11">
        <v>77203</v>
      </c>
    </row>
    <row r="12" spans="1:13" x14ac:dyDescent="0.3">
      <c r="A12" t="s">
        <v>133</v>
      </c>
      <c r="B12" t="s">
        <v>134</v>
      </c>
      <c r="C12" t="s">
        <v>107</v>
      </c>
      <c r="D12">
        <v>157333</v>
      </c>
    </row>
    <row r="13" spans="1:13" x14ac:dyDescent="0.3">
      <c r="A13" t="s">
        <v>135</v>
      </c>
      <c r="B13" t="s">
        <v>136</v>
      </c>
      <c r="C13" t="s">
        <v>137</v>
      </c>
      <c r="D13">
        <v>109851</v>
      </c>
    </row>
    <row r="14" spans="1:13" x14ac:dyDescent="0.3">
      <c r="A14" t="s">
        <v>138</v>
      </c>
      <c r="B14" t="s">
        <v>139</v>
      </c>
      <c r="C14" t="s">
        <v>125</v>
      </c>
      <c r="D14">
        <v>105086</v>
      </c>
    </row>
    <row r="15" spans="1:13" x14ac:dyDescent="0.3">
      <c r="A15" t="s">
        <v>140</v>
      </c>
      <c r="B15" t="s">
        <v>141</v>
      </c>
      <c r="C15" t="s">
        <v>107</v>
      </c>
      <c r="D15">
        <v>146742</v>
      </c>
    </row>
    <row r="16" spans="1:13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43B9E7B2-DF10-48A7-B6E6-72363DDF3B91}">
      <formula1>$B$1:$D$1</formula1>
    </dataValidation>
    <dataValidation type="list" allowBlank="1" showInputMessage="1" showErrorMessage="1" sqref="E3" xr:uid="{22BDD2A8-245A-4AE2-98A1-4CB552570EDE}">
      <formula1>$A$2:$A$31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1" t="s">
        <v>101</v>
      </c>
      <c r="B1" s="11" t="s">
        <v>105</v>
      </c>
      <c r="C1" s="11" t="s">
        <v>108</v>
      </c>
      <c r="D1" s="11" t="s">
        <v>111</v>
      </c>
      <c r="E1" s="11" t="s">
        <v>114</v>
      </c>
      <c r="F1" s="11" t="s">
        <v>117</v>
      </c>
      <c r="G1" s="11" t="s">
        <v>120</v>
      </c>
      <c r="H1" s="11" t="s">
        <v>123</v>
      </c>
      <c r="I1" s="11" t="s">
        <v>126</v>
      </c>
      <c r="J1" s="11" t="s">
        <v>129</v>
      </c>
      <c r="K1" s="11" t="s">
        <v>131</v>
      </c>
    </row>
    <row r="2" spans="1:15" ht="28.8" x14ac:dyDescent="0.3">
      <c r="A2" s="12" t="s">
        <v>102</v>
      </c>
      <c r="B2" s="12" t="s">
        <v>106</v>
      </c>
      <c r="C2" s="12" t="s">
        <v>109</v>
      </c>
      <c r="D2" s="12" t="s">
        <v>112</v>
      </c>
      <c r="E2" s="12" t="s">
        <v>115</v>
      </c>
      <c r="F2" s="12" t="s">
        <v>118</v>
      </c>
      <c r="G2" s="12" t="s">
        <v>121</v>
      </c>
      <c r="H2" s="12" t="s">
        <v>124</v>
      </c>
      <c r="I2" s="12" t="s">
        <v>127</v>
      </c>
      <c r="J2" s="12" t="s">
        <v>130</v>
      </c>
      <c r="K2" s="12" t="s">
        <v>132</v>
      </c>
    </row>
    <row r="3" spans="1:15" ht="43.2" x14ac:dyDescent="0.3">
      <c r="A3" s="12" t="s">
        <v>103</v>
      </c>
      <c r="B3" s="12" t="s">
        <v>107</v>
      </c>
      <c r="C3" s="12" t="s">
        <v>110</v>
      </c>
      <c r="D3" s="12" t="s">
        <v>113</v>
      </c>
      <c r="E3" s="12" t="s">
        <v>116</v>
      </c>
      <c r="F3" s="12" t="s">
        <v>119</v>
      </c>
      <c r="G3" s="12" t="s">
        <v>122</v>
      </c>
      <c r="H3" s="12" t="s">
        <v>125</v>
      </c>
      <c r="I3" s="12" t="s">
        <v>128</v>
      </c>
      <c r="J3" s="12" t="s">
        <v>125</v>
      </c>
      <c r="K3" s="12" t="s">
        <v>119</v>
      </c>
    </row>
    <row r="4" spans="1:15" ht="28.8" x14ac:dyDescent="0.3">
      <c r="A4" s="12" t="s">
        <v>104</v>
      </c>
      <c r="B4" s="12">
        <v>141604</v>
      </c>
      <c r="C4" s="12">
        <v>99975</v>
      </c>
      <c r="D4" s="12">
        <v>163099</v>
      </c>
      <c r="E4" s="12">
        <v>84913</v>
      </c>
      <c r="F4" s="12">
        <v>95409</v>
      </c>
      <c r="G4" s="12">
        <v>50994</v>
      </c>
      <c r="H4" s="12">
        <v>119746</v>
      </c>
      <c r="I4" s="12">
        <v>41336</v>
      </c>
      <c r="J4" s="12">
        <v>113527</v>
      </c>
      <c r="K4" s="12">
        <v>77203</v>
      </c>
      <c r="N4" s="13" t="s">
        <v>101</v>
      </c>
      <c r="O4" s="13" t="s">
        <v>191</v>
      </c>
    </row>
    <row r="5" spans="1:15" x14ac:dyDescent="0.3">
      <c r="N5" s="11" t="s">
        <v>108</v>
      </c>
      <c r="O5" s="13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Micros</vt:lpstr>
      <vt:lpstr>Conditional Formating</vt:lpstr>
      <vt:lpstr>DATA VALIDATION</vt:lpstr>
      <vt:lpstr>Sheet2</vt:lpstr>
      <vt:lpstr>VLOOKUP</vt:lpstr>
      <vt:lpstr>XLOOKUP</vt:lpstr>
      <vt:lpstr>INDEXING+MATCHING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2026-06-11T16:12:10Z</dcterms:modified>
</cp:coreProperties>
</file>