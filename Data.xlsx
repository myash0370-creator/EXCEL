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CABAF5F4-1947-4FE9-9A30-DC685D8A5F78}" xr6:coauthVersionLast="47" xr6:coauthVersionMax="47" xr10:uidLastSave="{00000000-0000-0000-0000-000000000000}"/>
  <bookViews>
    <workbookView xWindow="-108" yWindow="-108" windowWidth="23256" windowHeight="13176" activeTab="5" xr2:uid="{1D367657-B179-4894-9C73-CBDA1F2A738E}"/>
  </bookViews>
  <sheets>
    <sheet name="Sheet2" sheetId="2" r:id="rId1"/>
    <sheet name="Dashboard" sheetId="6" r:id="rId2"/>
    <sheet name="Sheet3" sheetId="3" r:id="rId3"/>
    <sheet name="Sheet4" sheetId="4" r:id="rId4"/>
    <sheet name="Sheet5" sheetId="5" r:id="rId5"/>
    <sheet name="Data" sheetId="1" r:id="rId6"/>
  </sheets>
  <definedNames>
    <definedName name="_xlchart.v1.0" hidden="1">Sheet4!$A$4:$A$18</definedName>
    <definedName name="_xlchart.v1.1" hidden="1">Sheet4!$B$3</definedName>
    <definedName name="_xlchart.v1.2" hidden="1">Sheet4!$B$4:$B$18</definedName>
    <definedName name="_xlchart.v1.3" hidden="1">Sheet4!$A$4:$A$18</definedName>
    <definedName name="_xlchart.v1.4" hidden="1">Sheet4!$B$3</definedName>
    <definedName name="_xlchart.v1.5" hidden="1">Sheet4!$B$4:$B$18</definedName>
    <definedName name="_xlchart.v1.6" hidden="1">Sheet4!$A$4:$A$18</definedName>
    <definedName name="_xlchart.v1.7" hidden="1">Sheet4!$B$3</definedName>
    <definedName name="_xlchart.v1.8" hidden="1">Sheet4!$B$4:$B$18</definedName>
    <definedName name="_xlchart.v1.9" hidden="1">Sheet4!$E$9</definedName>
  </definedNames>
  <calcPr calcId="191029"/>
  <pivotCaches>
    <pivotCache cacheId="7" r:id="rId7"/>
    <pivotCache cacheId="14" r:id="rId8"/>
    <pivotCache cacheId="21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<sst xmlns="http://schemas.openxmlformats.org/spreadsheetml/2006/main" count="238" uniqueCount="113">
  <si>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</si>
  <si>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</si>
  <si>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</si>
  <si>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</si>
  <si>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</si>
  <si>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</si>
  <si>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</si>
  <si>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</si>
  <si>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</si>
  <si>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</si>
  <si>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</si>
  <si>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</si>
  <si>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</si>
  <si>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</si>
  <si>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E08884</t>
  </si>
  <si>
    <t>Camila Silva</t>
  </si>
  <si>
    <t>Sr. Manager</t>
  </si>
  <si>
    <t>Marketing</t>
  </si>
  <si>
    <t>Speciality Products</t>
  </si>
  <si>
    <t>Female</t>
  </si>
  <si>
    <t>Latino</t>
  </si>
  <si>
    <t>United States</t>
  </si>
  <si>
    <t>Seattle</t>
  </si>
  <si>
    <t>E04116</t>
  </si>
  <si>
    <t>David Barnes</t>
  </si>
  <si>
    <t>Director</t>
  </si>
  <si>
    <t>IT</t>
  </si>
  <si>
    <t>Corporate</t>
  </si>
  <si>
    <t>Male</t>
  </si>
  <si>
    <t>Caucasian</t>
  </si>
  <si>
    <t>New York</t>
  </si>
  <si>
    <t>E04625</t>
  </si>
  <si>
    <t>Adam Dang</t>
  </si>
  <si>
    <t>Sales</t>
  </si>
  <si>
    <t>Research &amp; Development</t>
  </si>
  <si>
    <t>Asian</t>
  </si>
  <si>
    <t>China</t>
  </si>
  <si>
    <t>Beijing</t>
  </si>
  <si>
    <t>E03680</t>
  </si>
  <si>
    <t>Elias Alvarado</t>
  </si>
  <si>
    <t>Manufacturing</t>
  </si>
  <si>
    <t>Brazil</t>
  </si>
  <si>
    <t>Sao Paulo</t>
  </si>
  <si>
    <t>E04732</t>
  </si>
  <si>
    <t>Eva Rivera</t>
  </si>
  <si>
    <t>Miami</t>
  </si>
  <si>
    <t>E03484</t>
  </si>
  <si>
    <t>Logan Rivera</t>
  </si>
  <si>
    <t>Chicago</t>
  </si>
  <si>
    <t>E00671</t>
  </si>
  <si>
    <t>Leonardo Dixon</t>
  </si>
  <si>
    <t>Analyst</t>
  </si>
  <si>
    <t>Austin</t>
  </si>
  <si>
    <t>E02071</t>
  </si>
  <si>
    <t>Mateo Her</t>
  </si>
  <si>
    <t>Vice President</t>
  </si>
  <si>
    <t>E22006</t>
  </si>
  <si>
    <t>Jose Henderson</t>
  </si>
  <si>
    <t>Human Resources</t>
  </si>
  <si>
    <t>Black</t>
  </si>
  <si>
    <t>E04545</t>
  </si>
  <si>
    <t>Abigail Mejia</t>
  </si>
  <si>
    <t>Quality Engineer</t>
  </si>
  <si>
    <t>Engineering</t>
  </si>
  <si>
    <t>Phoenix</t>
  </si>
  <si>
    <t>E06781</t>
  </si>
  <si>
    <t>Kevin Thomas</t>
  </si>
  <si>
    <t>Data Analyst</t>
  </si>
  <si>
    <t>India</t>
  </si>
  <si>
    <t>Bangalore</t>
  </si>
  <si>
    <t>E06782</t>
  </si>
  <si>
    <t>Sarah Johnson</t>
  </si>
  <si>
    <t>Finance</t>
  </si>
  <si>
    <t>Dallas</t>
  </si>
  <si>
    <t>E06783</t>
  </si>
  <si>
    <t>Mohit Sharma</t>
  </si>
  <si>
    <t>Data Engineer</t>
  </si>
  <si>
    <t>Hyderabad</t>
  </si>
  <si>
    <t>E06784</t>
  </si>
  <si>
    <t>Neha Gupta</t>
  </si>
  <si>
    <t>Business Analyst</t>
  </si>
  <si>
    <t>Delhi</t>
  </si>
  <si>
    <t>E06785</t>
  </si>
  <si>
    <t>Chris Walker</t>
  </si>
  <si>
    <t>Product Manager</t>
  </si>
  <si>
    <t>Boston</t>
  </si>
  <si>
    <t>E06786</t>
  </si>
  <si>
    <t>Priya Verma</t>
  </si>
  <si>
    <t>HR Executive</t>
  </si>
  <si>
    <t>Noida</t>
  </si>
  <si>
    <t>E06787</t>
  </si>
  <si>
    <t>Daniel Kim</t>
  </si>
  <si>
    <t>Software Engineer</t>
  </si>
  <si>
    <t>South Korea</t>
  </si>
  <si>
    <t>Seoul</t>
  </si>
  <si>
    <t>E06788</t>
  </si>
  <si>
    <t>Ana Garcia</t>
  </si>
  <si>
    <t>Accountant</t>
  </si>
  <si>
    <t>Accounting</t>
  </si>
  <si>
    <t>Mexico</t>
  </si>
  <si>
    <t>Mexico City</t>
  </si>
  <si>
    <t>E06789</t>
  </si>
  <si>
    <t>James Wilson</t>
  </si>
  <si>
    <t>Operations Manager</t>
  </si>
  <si>
    <t>Operations</t>
  </si>
  <si>
    <t>Houston</t>
  </si>
  <si>
    <t>E06790</t>
  </si>
  <si>
    <t>Riya Singh</t>
  </si>
  <si>
    <t>Marketing Executive</t>
  </si>
  <si>
    <t>Mumbai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</si>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</sst>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[Data.xlsx]Sheet2!PivotTable2</c:name>
    <c:fmtId val="30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617-9FAF-2A772AE9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[Data.xlsx]Sheet2!PivotTable2</c:name>
    <c:fmtId val="33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384-B04F-A1E8C528E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[Data.xlsx]Sheet5!PivotTable8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68-470D-A88F-AB1FD73F8E8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68-470D-A88F-AB1FD73F8E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68-470D-A88F-AB1FD73F8E8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68-470D-A88F-AB1FD73F8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8-470D-A88F-AB1FD73F8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[Data.xlsx]Sheet3!PivotTable4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A-442E-BDE1-873ED506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[Data.xlsx]Sheet3!PivotTable4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F73-8367-2FF00351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[Data.xlsx]Sheet5!PivotTable8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D74-B73E-78D77AD0EB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_xlchart.v1.4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_xlchart.v1.7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91440</xdr:rowOff>
    </xdr:from>
    <xdr:to>
      <xdr:col>11</xdr:col>
      <xdr:colOff>53340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F44B-2DC4-0E6A-7E2D-8E27B5C3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7</xdr:col>
      <xdr:colOff>259080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E995-5441-4DD1-AC06-416778CF1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144780</xdr:rowOff>
    </xdr:from>
    <xdr:to>
      <xdr:col>7</xdr:col>
      <xdr:colOff>342900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54F305-7513-44E2-B0EE-368CA985E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22220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13</xdr:row>
      <xdr:rowOff>22860</xdr:rowOff>
    </xdr:from>
    <xdr:to>
      <xdr:col>15</xdr:col>
      <xdr:colOff>190500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3FB6D-0EB5-46E6-A393-4E0E5F55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563880</xdr:colOff>
      <xdr:row>0</xdr:row>
      <xdr:rowOff>129540</xdr:rowOff>
    </xdr:from>
    <xdr:to>
      <xdr:col>15</xdr:col>
      <xdr:colOff>259080</xdr:colOff>
      <xdr:row>12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50A775-9FAE-4965-8979-0BF71389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152400</xdr:rowOff>
    </xdr:from>
    <xdr:to>
      <xdr:col>10</xdr:col>
      <xdr:colOff>297180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CAF78-3CA2-70E5-2D5A-50C6E8AB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22860</xdr:rowOff>
    </xdr:from>
    <xdr:to>
      <xdr:col>11</xdr:col>
      <xdr:colOff>198120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F6FD5-2B2D-80B4-2D5B-168A2A470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8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99060</xdr:rowOff>
    </xdr:from>
    <xdr:to>
      <xdr:col>10</xdr:col>
      <xdr:colOff>60960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C8607-B7ED-E328-1955-E3F0A3A83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4822569448" createdVersion="8" refreshedVersion="8" minRefreshableVersion="3" recordCount="20" xr:uid="{2B770F75-CA5F-45AC-B986-AF1D50136E49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Ethnicity" numFmtId="0">
      <sharedItems count="4">
        <s v="Latino"/>
        <s v="Caucasian"/>
        <s v="Asian"/>
        <s v="Black"/>
      </sharedItems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 count="6">
        <s v="United States"/>
        <s v="China"/>
        <s v="Brazil"/>
        <s v="India"/>
        <s v="South Korea"/>
        <s v="Mexico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5613541667" createdVersion="8" refreshedVersion="8" minRefreshableVersion="3" recordCount="20" xr:uid="{8A17A340-8A39-4055-9935-4E831E24C162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241319446" createdVersion="8" refreshedVersion="8" minRefreshableVersion="3" recordCount="20" xr:uid="{7F9DC2B9-CC32-4675-9229-F2454F62959E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723148151" createdVersion="8" refreshedVersion="8" minRefreshableVersion="3" recordCount="20" xr:uid="{9FAAC05B-7339-4898-86D1-955DBFC83227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 count="4">
        <s v="Speciality Products"/>
        <s v="Corporate"/>
        <s v="Research &amp; Development"/>
        <s v="Manufacturing"/>
      </sharedItems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s v="Speciality Products"/>
    <s v="Female"/>
    <x v="0"/>
    <n v="64"/>
    <d v="2003-12-01T00:00:00"/>
    <n v="154828"/>
    <n v="0.13"/>
    <x v="0"/>
    <s v="Seattle"/>
  </r>
  <r>
    <x v="1"/>
    <s v="David Barnes"/>
    <s v="Director"/>
    <s v="IT"/>
    <s v="Corporate"/>
    <s v="Male"/>
    <x v="1"/>
    <n v="64"/>
    <d v="2013-11-03T00:00:00"/>
    <n v="186503"/>
    <n v="0.24"/>
    <x v="0"/>
    <s v="New York"/>
  </r>
  <r>
    <x v="2"/>
    <s v="Adam Dang"/>
    <s v="Director"/>
    <s v="Sales"/>
    <s v="Research &amp; Development"/>
    <s v="Male"/>
    <x v="2"/>
    <n v="45"/>
    <d v="2002-07-09T00:00:00"/>
    <n v="166331"/>
    <n v="0.18"/>
    <x v="1"/>
    <s v="Beijing"/>
  </r>
  <r>
    <x v="3"/>
    <s v="Elias Alvarado"/>
    <s v="Sr. Manager"/>
    <s v="IT"/>
    <s v="Manufacturing"/>
    <s v="Male"/>
    <x v="0"/>
    <n v="56"/>
    <d v="2012-01-09T00:00:00"/>
    <n v="146140"/>
    <n v="0.1"/>
    <x v="2"/>
    <s v="Sao Paulo"/>
  </r>
  <r>
    <x v="4"/>
    <s v="Eva Rivera"/>
    <s v="Director"/>
    <s v="Sales"/>
    <s v="Manufacturing"/>
    <s v="Female"/>
    <x v="0"/>
    <n v="36"/>
    <d v="2021-04-02T00:00:00"/>
    <n v="151703"/>
    <n v="0.21"/>
    <x v="0"/>
    <s v="Miami"/>
  </r>
  <r>
    <x v="5"/>
    <s v="Logan Rivera"/>
    <s v="Director"/>
    <s v="IT"/>
    <s v="Research &amp; Development"/>
    <s v="Male"/>
    <x v="0"/>
    <n v="59"/>
    <d v="2002-05-24T00:00:00"/>
    <n v="172787"/>
    <n v="0.28000000000000003"/>
    <x v="0"/>
    <s v="Chicago"/>
  </r>
  <r>
    <x v="6"/>
    <s v="Leonardo Dixon"/>
    <s v="Analyst"/>
    <s v="Sales"/>
    <s v="Speciality Products"/>
    <s v="Male"/>
    <x v="1"/>
    <n v="37"/>
    <d v="2019-09-05T00:00:00"/>
    <n v="49998"/>
    <n v="0"/>
    <x v="0"/>
    <s v="Austin"/>
  </r>
  <r>
    <x v="7"/>
    <s v="Mateo Her"/>
    <s v="Vice President"/>
    <s v="Sales"/>
    <s v="Speciality Products"/>
    <s v="Male"/>
    <x v="2"/>
    <n v="44"/>
    <d v="2014-03-02T00:00:00"/>
    <n v="207172"/>
    <n v="0.3"/>
    <x v="0"/>
    <s v="Seattle"/>
  </r>
  <r>
    <x v="8"/>
    <s v="Jose Henderson"/>
    <s v="Director"/>
    <s v="Human Resources"/>
    <s v="Speciality Products"/>
    <s v="Male"/>
    <x v="3"/>
    <n v="41"/>
    <d v="2015-04-17T00:00:00"/>
    <n v="152239"/>
    <n v="0.2"/>
    <x v="0"/>
    <s v="Miami"/>
  </r>
  <r>
    <x v="9"/>
    <s v="Abigail Mejia"/>
    <s v="Quality Engineer"/>
    <s v="Engineering"/>
    <s v="Corporate"/>
    <s v="Female"/>
    <x v="0"/>
    <n v="56"/>
    <d v="2005-02-05T00:00:00"/>
    <n v="98581"/>
    <n v="0.05"/>
    <x v="0"/>
    <s v="Phoenix"/>
  </r>
  <r>
    <x v="10"/>
    <s v="Kevin Thomas"/>
    <s v="Data Analyst"/>
    <s v="IT"/>
    <s v="Corporate"/>
    <s v="Male"/>
    <x v="2"/>
    <n v="29"/>
    <d v="2020-08-12T00:00:00"/>
    <n v="74500"/>
    <n v="7.0000000000000007E-2"/>
    <x v="3"/>
    <s v="Bangalore"/>
  </r>
  <r>
    <x v="11"/>
    <s v="Sarah Johnson"/>
    <s v="Data Analyst"/>
    <s v="Finance"/>
    <s v="Corporate"/>
    <s v="Female"/>
    <x v="1"/>
    <n v="31"/>
    <d v="2019-03-22T00:00:00"/>
    <n v="78500"/>
    <n v="0.08"/>
    <x v="0"/>
    <s v="Dallas"/>
  </r>
  <r>
    <x v="12"/>
    <s v="Mohit Sharma"/>
    <s v="Data Engineer"/>
    <s v="IT"/>
    <s v="Research &amp; Development"/>
    <s v="Male"/>
    <x v="2"/>
    <n v="28"/>
    <d v="2021-06-11T00:00:00"/>
    <n v="92500"/>
    <n v="0.1"/>
    <x v="3"/>
    <s v="Hyderabad"/>
  </r>
  <r>
    <x v="13"/>
    <s v="Neha Gupta"/>
    <s v="Business Analyst"/>
    <s v="Finance"/>
    <s v="Corporate"/>
    <s v="Female"/>
    <x v="2"/>
    <n v="27"/>
    <d v="2022-01-15T00:00:00"/>
    <n v="68500"/>
    <n v="0.05"/>
    <x v="3"/>
    <s v="Delhi"/>
  </r>
  <r>
    <x v="14"/>
    <s v="Chris Walker"/>
    <s v="Product Manager"/>
    <s v="Marketing"/>
    <s v="Research &amp; Development"/>
    <s v="Male"/>
    <x v="1"/>
    <n v="39"/>
    <d v="2017-11-07T00:00:00"/>
    <n v="132000"/>
    <n v="0.15"/>
    <x v="0"/>
    <s v="Boston"/>
  </r>
  <r>
    <x v="15"/>
    <s v="Priya Verma"/>
    <s v="HR Executive"/>
    <s v="Human Resources"/>
    <s v="Corporate"/>
    <s v="Female"/>
    <x v="2"/>
    <n v="26"/>
    <d v="2022-09-19T00:00:00"/>
    <n v="52000"/>
    <n v="0.03"/>
    <x v="3"/>
    <s v="Noida"/>
  </r>
  <r>
    <x v="16"/>
    <s v="Daniel Kim"/>
    <s v="Software Engineer"/>
    <s v="IT"/>
    <s v="Research &amp; Development"/>
    <s v="Male"/>
    <x v="2"/>
    <n v="33"/>
    <d v="2018-05-09T00:00:00"/>
    <n v="112000"/>
    <n v="0.12"/>
    <x v="4"/>
    <s v="Seoul"/>
  </r>
  <r>
    <x v="17"/>
    <s v="Ana Garcia"/>
    <s v="Accountant"/>
    <s v="Accounting"/>
    <s v="Corporate"/>
    <s v="Female"/>
    <x v="0"/>
    <n v="35"/>
    <d v="2016-04-13T00:00:00"/>
    <n v="71000"/>
    <n v="0.06"/>
    <x v="5"/>
    <s v="Mexico City"/>
  </r>
  <r>
    <x v="18"/>
    <s v="James Wilson"/>
    <s v="Operations Manager"/>
    <s v="Operations"/>
    <s v="Manufacturing"/>
    <s v="Male"/>
    <x v="1"/>
    <n v="42"/>
    <d v="2013-07-18T00:00:00"/>
    <n v="118000"/>
    <n v="0.14000000000000001"/>
    <x v="0"/>
    <s v="Houston"/>
  </r>
  <r>
    <x v="19"/>
    <s v="Riya Singh"/>
    <s v="Marketing Executive"/>
    <s v="Marketing"/>
    <s v="Speciality Products"/>
    <s v="Female"/>
    <x v="2"/>
    <n v="25"/>
    <d v="2023-10-10T00:00:00"/>
    <n v="48000"/>
    <n v="0.02"/>
    <x v="3"/>
    <s v="Mumba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x v="0"/>
    <s v="Female"/>
    <s v="Latino"/>
    <n v="64"/>
    <d v="2003-12-01T00:00:00"/>
    <n v="154828"/>
    <n v="0.13"/>
    <s v="United States"/>
    <s v="Seattle"/>
  </r>
  <r>
    <x v="1"/>
    <s v="David Barnes"/>
    <s v="Director"/>
    <s v="IT"/>
    <x v="1"/>
    <s v="Male"/>
    <s v="Caucasian"/>
    <n v="64"/>
    <d v="2013-11-03T00:00:00"/>
    <n v="186503"/>
    <n v="0.24"/>
    <s v="United States"/>
    <s v="New York"/>
  </r>
  <r>
    <x v="2"/>
    <s v="Adam Dang"/>
    <s v="Director"/>
    <s v="Sales"/>
    <x v="2"/>
    <s v="Male"/>
    <s v="Asian"/>
    <n v="45"/>
    <d v="2002-07-09T00:00:00"/>
    <n v="166331"/>
    <n v="0.18"/>
    <s v="China"/>
    <s v="Beijing"/>
  </r>
  <r>
    <x v="3"/>
    <s v="Elias Alvarado"/>
    <s v="Sr. Manager"/>
    <s v="IT"/>
    <x v="3"/>
    <s v="Male"/>
    <s v="Latino"/>
    <n v="56"/>
    <d v="2012-01-09T00:00:00"/>
    <n v="146140"/>
    <n v="0.1"/>
    <s v="Brazil"/>
    <s v="Sao Paulo"/>
  </r>
  <r>
    <x v="4"/>
    <s v="Eva Rivera"/>
    <s v="Director"/>
    <s v="Sales"/>
    <x v="3"/>
    <s v="Female"/>
    <s v="Latino"/>
    <n v="36"/>
    <d v="2021-04-02T00:00:00"/>
    <n v="151703"/>
    <n v="0.21"/>
    <s v="United States"/>
    <s v="Miami"/>
  </r>
  <r>
    <x v="5"/>
    <s v="Logan Rivera"/>
    <s v="Director"/>
    <s v="IT"/>
    <x v="2"/>
    <s v="Male"/>
    <s v="Latino"/>
    <n v="59"/>
    <d v="2002-05-24T00:00:00"/>
    <n v="172787"/>
    <n v="0.28000000000000003"/>
    <s v="United States"/>
    <s v="Chicago"/>
  </r>
  <r>
    <x v="6"/>
    <s v="Leonardo Dixon"/>
    <s v="Analyst"/>
    <s v="Sales"/>
    <x v="0"/>
    <s v="Male"/>
    <s v="Caucasian"/>
    <n v="37"/>
    <d v="2019-09-05T00:00:00"/>
    <n v="49998"/>
    <n v="0"/>
    <s v="United States"/>
    <s v="Austin"/>
  </r>
  <r>
    <x v="7"/>
    <s v="Mateo Her"/>
    <s v="Vice President"/>
    <s v="Sales"/>
    <x v="0"/>
    <s v="Male"/>
    <s v="Asian"/>
    <n v="44"/>
    <d v="2014-03-02T00:00:00"/>
    <n v="207172"/>
    <n v="0.3"/>
    <s v="United States"/>
    <s v="Seattle"/>
  </r>
  <r>
    <x v="8"/>
    <s v="Jose Henderson"/>
    <s v="Director"/>
    <s v="Human Resources"/>
    <x v="0"/>
    <s v="Male"/>
    <s v="Black"/>
    <n v="41"/>
    <d v="2015-04-17T00:00:00"/>
    <n v="152239"/>
    <n v="0.2"/>
    <s v="United States"/>
    <s v="Miami"/>
  </r>
  <r>
    <x v="9"/>
    <s v="Abigail Mejia"/>
    <s v="Quality Engineer"/>
    <s v="Engineering"/>
    <x v="1"/>
    <s v="Female"/>
    <s v="Latino"/>
    <n v="56"/>
    <d v="2005-02-05T00:00:00"/>
    <n v="98581"/>
    <n v="0.05"/>
    <s v="United States"/>
    <s v="Phoenix"/>
  </r>
  <r>
    <x v="10"/>
    <s v="Kevin Thomas"/>
    <s v="Data Analyst"/>
    <s v="IT"/>
    <x v="1"/>
    <s v="Male"/>
    <s v="Asian"/>
    <n v="29"/>
    <d v="2020-08-12T00:00:00"/>
    <n v="74500"/>
    <n v="7.0000000000000007E-2"/>
    <s v="India"/>
    <s v="Bangalore"/>
  </r>
  <r>
    <x v="11"/>
    <s v="Sarah Johnson"/>
    <s v="Data Analyst"/>
    <s v="Finance"/>
    <x v="1"/>
    <s v="Female"/>
    <s v="Caucasian"/>
    <n v="31"/>
    <d v="2019-03-22T00:00:00"/>
    <n v="78500"/>
    <n v="0.08"/>
    <s v="United States"/>
    <s v="Dallas"/>
  </r>
  <r>
    <x v="12"/>
    <s v="Mohit Sharma"/>
    <s v="Data Engineer"/>
    <s v="IT"/>
    <x v="2"/>
    <s v="Male"/>
    <s v="Asian"/>
    <n v="28"/>
    <d v="2021-06-11T00:00:00"/>
    <n v="92500"/>
    <n v="0.1"/>
    <s v="India"/>
    <s v="Hyderabad"/>
  </r>
  <r>
    <x v="13"/>
    <s v="Neha Gupta"/>
    <s v="Business Analyst"/>
    <s v="Finance"/>
    <x v="1"/>
    <s v="Female"/>
    <s v="Asian"/>
    <n v="27"/>
    <d v="2022-01-15T00:00:00"/>
    <n v="68500"/>
    <n v="0.05"/>
    <s v="India"/>
    <s v="Delhi"/>
  </r>
  <r>
    <x v="14"/>
    <s v="Chris Walker"/>
    <s v="Product Manager"/>
    <s v="Marketing"/>
    <x v="2"/>
    <s v="Male"/>
    <s v="Caucasian"/>
    <n v="39"/>
    <d v="2017-11-07T00:00:00"/>
    <n v="132000"/>
    <n v="0.15"/>
    <s v="United States"/>
    <s v="Boston"/>
  </r>
  <r>
    <x v="15"/>
    <s v="Priya Verma"/>
    <s v="HR Executive"/>
    <s v="Human Resources"/>
    <x v="1"/>
    <s v="Female"/>
    <s v="Asian"/>
    <n v="26"/>
    <d v="2022-09-19T00:00:00"/>
    <n v="52000"/>
    <n v="0.03"/>
    <s v="India"/>
    <s v="Noida"/>
  </r>
  <r>
    <x v="16"/>
    <s v="Daniel Kim"/>
    <s v="Software Engineer"/>
    <s v="IT"/>
    <x v="2"/>
    <s v="Male"/>
    <s v="Asian"/>
    <n v="33"/>
    <d v="2018-05-09T00:00:00"/>
    <n v="112000"/>
    <n v="0.12"/>
    <s v="South Korea"/>
    <s v="Seoul"/>
  </r>
  <r>
    <x v="17"/>
    <s v="Ana Garcia"/>
    <s v="Accountant"/>
    <s v="Accounting"/>
    <x v="1"/>
    <s v="Female"/>
    <s v="Latino"/>
    <n v="35"/>
    <d v="2016-04-13T00:00:00"/>
    <n v="71000"/>
    <n v="0.06"/>
    <s v="Mexico"/>
    <s v="Mexico City"/>
  </r>
  <r>
    <x v="18"/>
    <s v="James Wilson"/>
    <s v="Operations Manager"/>
    <s v="Operations"/>
    <x v="3"/>
    <s v="Male"/>
    <s v="Caucasian"/>
    <n v="42"/>
    <d v="2013-07-18T00:00:00"/>
    <n v="118000"/>
    <n v="0.14000000000000001"/>
    <s v="United States"/>
    <s v="Houston"/>
  </r>
  <r>
    <x v="19"/>
    <s v="Riya Singh"/>
    <s v="Marketing Executive"/>
    <s v="Marketing"/>
    <x v="0"/>
    <s v="Female"/>
    <s v="Asian"/>
    <n v="25"/>
    <d v="2023-10-10T00:00:00"/>
    <n v="48000"/>
    <n v="0.02"/>
    <s v="India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AB-F4A4-4E35-ABAF-E3BE2E3ED3D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numFmtId="9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9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25E55-5C46-403E-9CAF-337139793A8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12" firstHeaderRow="1" firstDataRow="1" firstDataCol="1"/>
  <pivotFields count="13">
    <pivotField showAll="0"/>
    <pivotField showAll="0"/>
    <pivotField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axis="axisRow"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" fld="9" baseField="0" baseItem="0"/>
  </dataFields>
  <chartFormats count="1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5F35-EE0C-4BB2-B9C3-7FA338BA75A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8" firstHeaderRow="1" firstDataRow="1" firstDataCol="1"/>
  <pivotFields count="13">
    <pivotField showAll="0"/>
    <pivotField showAll="0"/>
    <pivotField axis="axisRow"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7E3F-4F23-4B6C-848E-518FECCCE73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axis="axisRow"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2"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Salary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C52A-012C-4A9D-83BB-DD8030CA4038}" name="Table1" displayName="Table1" ref="A1:M21" totalsRowShown="0">
  <autoFilter ref="A1:M21" xr:uid="{A3DCC52A-012C-4A9D-83BB-DD8030CA4038}"/>
  <tableColumns count="13">
    <tableColumn id="1" xr3:uid="{31D3E660-3B70-493C-B795-6C9150A1DC3E}" name="EEID"/>
    <tableColumn id="2" xr3:uid="{FDDC93A5-703E-4D4B-B03B-68C704B595D0}" name="Full Name"/>
    <tableColumn id="3" xr3:uid="{93BBE22D-D96D-466B-9C2C-4D06BE290BB4}" name="Job Title"/>
    <tableColumn id="4" xr3:uid="{178934F8-9E32-48BA-92E3-86778FD41E1E}" name="Department"/>
    <tableColumn id="5" xr3:uid="{9F29464C-FDED-4327-AE43-103DDC8907A7}" name="Business Unit"/>
    <tableColumn id="6" xr3:uid="{10E663D7-A412-4469-8BE4-416361A75E23}" name="Gender"/>
    <tableColumn id="7" xr3:uid="{D514BF21-367B-4927-BD54-C00605F8E118}" name="Ethnicity"/>
    <tableColumn id="8" xr3:uid="{5E3B3044-48AF-4256-BA01-B929A8A78639}" name="Age"/>
    <tableColumn id="9" xr3:uid="{A476BE8D-FBE9-45E6-BFF6-615AAB134254}" name="Hire Date" dataDxfId="1"/>
    <tableColumn id="10" xr3:uid="{9EC241DA-8FDC-4AC3-89E4-52B9DDF9A52D}" name="Annual Salary"/>
    <tableColumn id="11" xr3:uid="{01DCF313-3D83-4419-8C49-BDF1D539285F}" name="Bonus %" dataDxfId="0"/>
    <tableColumn id="12" xr3:uid="{3F3BE8E5-CD43-400B-9B2D-521B2CB22B94}" name="Country"/>
    <tableColumn id="13" xr3:uid="{D04732F5-FF73-4593-81B1-3C216B46DA09}" name="C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35C-BB35-4D6D-A243-A8163BEE91D8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41</v>
      </c>
      <c r="B4" s="5">
        <v>146140</v>
      </c>
    </row>
    <row r="5" spans="1:2" x14ac:dyDescent="0.3">
      <c r="A5" s="4" t="s">
        <v>36</v>
      </c>
      <c r="B5" s="5">
        <v>166331</v>
      </c>
    </row>
    <row r="6" spans="1:2" x14ac:dyDescent="0.3">
      <c r="A6" s="4" t="s">
        <v>68</v>
      </c>
      <c r="B6" s="5">
        <v>335500</v>
      </c>
    </row>
    <row r="7" spans="1:2" x14ac:dyDescent="0.3">
      <c r="A7" s="4" t="s">
        <v>99</v>
      </c>
      <c r="B7" s="5">
        <v>71000</v>
      </c>
    </row>
    <row r="8" spans="1:2" x14ac:dyDescent="0.3">
      <c r="A8" s="4" t="s">
        <v>93</v>
      </c>
      <c r="B8" s="5">
        <v>112000</v>
      </c>
    </row>
    <row r="9" spans="1:2" x14ac:dyDescent="0.3">
      <c r="A9" s="4" t="s">
        <v>21</v>
      </c>
      <c r="B9" s="5">
        <v>1502311</v>
      </c>
    </row>
    <row r="10" spans="1:2" x14ac:dyDescent="0.3">
      <c r="A10" s="4" t="s">
        <v>111</v>
      </c>
      <c r="B10" s="5">
        <v>2333282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6C2-9A1B-480F-B9B6-BAA5FAD40E11}">
  <dimension ref="A1"/>
  <sheetViews>
    <sheetView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317-E3AB-44DD-BB15-5BA224AD9006}">
  <dimension ref="A3:B12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98</v>
      </c>
      <c r="B4" s="5">
        <v>71000</v>
      </c>
    </row>
    <row r="5" spans="1:2" x14ac:dyDescent="0.3">
      <c r="A5" s="4" t="s">
        <v>63</v>
      </c>
      <c r="B5" s="5">
        <v>98581</v>
      </c>
    </row>
    <row r="6" spans="1:2" x14ac:dyDescent="0.3">
      <c r="A6" s="4" t="s">
        <v>72</v>
      </c>
      <c r="B6" s="5">
        <v>147000</v>
      </c>
    </row>
    <row r="7" spans="1:2" x14ac:dyDescent="0.3">
      <c r="A7" s="4" t="s">
        <v>58</v>
      </c>
      <c r="B7" s="5">
        <v>204239</v>
      </c>
    </row>
    <row r="8" spans="1:2" x14ac:dyDescent="0.3">
      <c r="A8" s="4" t="s">
        <v>26</v>
      </c>
      <c r="B8" s="5">
        <v>784430</v>
      </c>
    </row>
    <row r="9" spans="1:2" x14ac:dyDescent="0.3">
      <c r="A9" s="4" t="s">
        <v>17</v>
      </c>
      <c r="B9" s="5">
        <v>334828</v>
      </c>
    </row>
    <row r="10" spans="1:2" x14ac:dyDescent="0.3">
      <c r="A10" s="4" t="s">
        <v>104</v>
      </c>
      <c r="B10" s="5">
        <v>118000</v>
      </c>
    </row>
    <row r="11" spans="1:2" x14ac:dyDescent="0.3">
      <c r="A11" s="4" t="s">
        <v>33</v>
      </c>
      <c r="B11" s="5">
        <v>575204</v>
      </c>
    </row>
    <row r="12" spans="1:2" x14ac:dyDescent="0.3">
      <c r="A12" s="4" t="s">
        <v>111</v>
      </c>
      <c r="B12" s="5">
        <v>2333282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23A-A1AC-4C6C-A70F-3DBC8186FAB3}">
  <dimension ref="A3:B18"/>
  <sheetViews>
    <sheetView workbookViewId="0">
      <selection activeCell="E22" sqref="E22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97</v>
      </c>
      <c r="B4" s="5">
        <v>71000</v>
      </c>
    </row>
    <row r="5" spans="1:2" x14ac:dyDescent="0.3">
      <c r="A5" s="4" t="s">
        <v>51</v>
      </c>
      <c r="B5" s="5">
        <v>49998</v>
      </c>
    </row>
    <row r="6" spans="1:2" x14ac:dyDescent="0.3">
      <c r="A6" s="4" t="s">
        <v>80</v>
      </c>
      <c r="B6" s="5">
        <v>68500</v>
      </c>
    </row>
    <row r="7" spans="1:2" x14ac:dyDescent="0.3">
      <c r="A7" s="4" t="s">
        <v>67</v>
      </c>
      <c r="B7" s="5">
        <v>153000</v>
      </c>
    </row>
    <row r="8" spans="1:2" x14ac:dyDescent="0.3">
      <c r="A8" s="4" t="s">
        <v>76</v>
      </c>
      <c r="B8" s="5">
        <v>92500</v>
      </c>
    </row>
    <row r="9" spans="1:2" x14ac:dyDescent="0.3">
      <c r="A9" s="4" t="s">
        <v>25</v>
      </c>
      <c r="B9" s="5">
        <v>829563</v>
      </c>
    </row>
    <row r="10" spans="1:2" x14ac:dyDescent="0.3">
      <c r="A10" s="4" t="s">
        <v>88</v>
      </c>
      <c r="B10" s="5">
        <v>52000</v>
      </c>
    </row>
    <row r="11" spans="1:2" x14ac:dyDescent="0.3">
      <c r="A11" s="4" t="s">
        <v>108</v>
      </c>
      <c r="B11" s="5">
        <v>48000</v>
      </c>
    </row>
    <row r="12" spans="1:2" x14ac:dyDescent="0.3">
      <c r="A12" s="4" t="s">
        <v>103</v>
      </c>
      <c r="B12" s="5">
        <v>118000</v>
      </c>
    </row>
    <row r="13" spans="1:2" x14ac:dyDescent="0.3">
      <c r="A13" s="4" t="s">
        <v>84</v>
      </c>
      <c r="B13" s="5">
        <v>132000</v>
      </c>
    </row>
    <row r="14" spans="1:2" x14ac:dyDescent="0.3">
      <c r="A14" s="4" t="s">
        <v>62</v>
      </c>
      <c r="B14" s="5">
        <v>98581</v>
      </c>
    </row>
    <row r="15" spans="1:2" x14ac:dyDescent="0.3">
      <c r="A15" s="4" t="s">
        <v>92</v>
      </c>
      <c r="B15" s="5">
        <v>112000</v>
      </c>
    </row>
    <row r="16" spans="1:2" x14ac:dyDescent="0.3">
      <c r="A16" s="4" t="s">
        <v>16</v>
      </c>
      <c r="B16" s="5">
        <v>300968</v>
      </c>
    </row>
    <row r="17" spans="1:2" x14ac:dyDescent="0.3">
      <c r="A17" s="4" t="s">
        <v>55</v>
      </c>
      <c r="B17" s="5">
        <v>207172</v>
      </c>
    </row>
    <row r="18" spans="1:2" x14ac:dyDescent="0.3">
      <c r="A18" s="4" t="s">
        <v>111</v>
      </c>
      <c r="B18" s="5">
        <v>2333282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A057-AD64-4FB8-A26F-25DD0967CEDE}">
  <dimension ref="A3:B8"/>
  <sheetViews>
    <sheetView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27</v>
      </c>
      <c r="B4" s="5">
        <v>629584</v>
      </c>
    </row>
    <row r="5" spans="1:2" x14ac:dyDescent="0.3">
      <c r="A5" s="4" t="s">
        <v>40</v>
      </c>
      <c r="B5" s="5">
        <v>415843</v>
      </c>
    </row>
    <row r="6" spans="1:2" x14ac:dyDescent="0.3">
      <c r="A6" s="4" t="s">
        <v>34</v>
      </c>
      <c r="B6" s="5">
        <v>675618</v>
      </c>
    </row>
    <row r="7" spans="1:2" x14ac:dyDescent="0.3">
      <c r="A7" s="4" t="s">
        <v>18</v>
      </c>
      <c r="B7" s="5">
        <v>612237</v>
      </c>
    </row>
    <row r="8" spans="1:2" x14ac:dyDescent="0.3">
      <c r="A8" s="4" t="s">
        <v>111</v>
      </c>
      <c r="B8" s="5">
        <v>2333282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574-5AAA-484F-B989-5CE6C18A04E0}">
  <dimension ref="A1:N21"/>
  <sheetViews>
    <sheetView tabSelected="1" zoomScale="130" zoomScaleNormal="130" workbookViewId="0">
      <selection sqref="A1:XFD1048576"/>
    </sheetView>
  </sheetViews>
  <sheetFormatPr defaultRowHeight="14.4" x14ac:dyDescent="0.3"/>
  <cols>
    <col min="2" max="2" width="13.88671875" bestFit="1" customWidth="1"/>
    <col min="3" max="3" width="17.44140625" bestFit="1" customWidth="1"/>
    <col min="4" max="4" width="15.88671875" bestFit="1" customWidth="1"/>
    <col min="5" max="5" width="21.44140625" bestFit="1" customWidth="1"/>
    <col min="6" max="6" width="9" customWidth="1"/>
    <col min="7" max="7" width="10.21875" customWidth="1"/>
    <col min="8" max="8" width="5.88671875" customWidth="1"/>
    <col min="9" max="9" width="10.6640625" customWidth="1"/>
    <col min="10" max="10" width="14.109375" customWidth="1"/>
    <col min="11" max="11" width="9.77734375" customWidth="1"/>
    <col min="12" max="12" width="11.5546875" bestFit="1" customWidth="1"/>
    <col min="13" max="13" width="10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64</v>
      </c>
      <c r="I2" s="1">
        <v>37956</v>
      </c>
      <c r="J2">
        <v>154828</v>
      </c>
      <c r="K2" s="2">
        <v>0.13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</v>
      </c>
      <c r="I3" s="1">
        <v>41581</v>
      </c>
      <c r="J3">
        <v>186503</v>
      </c>
      <c r="K3" s="2">
        <v>0.24</v>
      </c>
      <c r="L3" t="s">
        <v>21</v>
      </c>
      <c r="M3" t="s">
        <v>30</v>
      </c>
    </row>
    <row r="4" spans="1:14" x14ac:dyDescent="0.3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28</v>
      </c>
      <c r="G4" t="s">
        <v>35</v>
      </c>
      <c r="H4">
        <v>45</v>
      </c>
      <c r="I4" s="1">
        <v>37446</v>
      </c>
      <c r="J4">
        <v>166331</v>
      </c>
      <c r="K4" s="2">
        <v>0.18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16</v>
      </c>
      <c r="D5" t="s">
        <v>26</v>
      </c>
      <c r="E5" t="s">
        <v>40</v>
      </c>
      <c r="F5" t="s">
        <v>28</v>
      </c>
      <c r="G5" t="s">
        <v>20</v>
      </c>
      <c r="H5">
        <v>56</v>
      </c>
      <c r="I5" s="1">
        <v>40917</v>
      </c>
      <c r="J5">
        <v>146140</v>
      </c>
      <c r="K5" s="2">
        <v>0.1</v>
      </c>
      <c r="L5" t="s">
        <v>41</v>
      </c>
      <c r="M5" t="s">
        <v>42</v>
      </c>
    </row>
    <row r="6" spans="1:14" x14ac:dyDescent="0.3">
      <c r="A6" t="s">
        <v>43</v>
      </c>
      <c r="B6" t="s">
        <v>44</v>
      </c>
      <c r="C6" t="s">
        <v>25</v>
      </c>
      <c r="D6" t="s">
        <v>33</v>
      </c>
      <c r="E6" t="s">
        <v>40</v>
      </c>
      <c r="F6" t="s">
        <v>19</v>
      </c>
      <c r="G6" t="s">
        <v>20</v>
      </c>
      <c r="H6">
        <v>36</v>
      </c>
      <c r="I6" s="1">
        <v>44288</v>
      </c>
      <c r="J6">
        <v>151703</v>
      </c>
      <c r="K6" s="2">
        <v>0.21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25</v>
      </c>
      <c r="D7" t="s">
        <v>26</v>
      </c>
      <c r="E7" t="s">
        <v>34</v>
      </c>
      <c r="F7" t="s">
        <v>28</v>
      </c>
      <c r="G7" t="s">
        <v>20</v>
      </c>
      <c r="H7">
        <v>59</v>
      </c>
      <c r="I7" s="1">
        <v>37400</v>
      </c>
      <c r="J7">
        <v>172787</v>
      </c>
      <c r="K7" s="2">
        <v>0.28000000000000003</v>
      </c>
      <c r="L7" t="s">
        <v>21</v>
      </c>
      <c r="M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33</v>
      </c>
      <c r="E8" t="s">
        <v>18</v>
      </c>
      <c r="F8" t="s">
        <v>28</v>
      </c>
      <c r="G8" t="s">
        <v>29</v>
      </c>
      <c r="H8">
        <v>37</v>
      </c>
      <c r="I8" s="1">
        <v>43713</v>
      </c>
      <c r="J8">
        <v>49998</v>
      </c>
      <c r="K8" s="2">
        <v>0</v>
      </c>
      <c r="L8" t="s">
        <v>21</v>
      </c>
      <c r="M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18</v>
      </c>
      <c r="F9" t="s">
        <v>28</v>
      </c>
      <c r="G9" t="s">
        <v>35</v>
      </c>
      <c r="H9">
        <v>44</v>
      </c>
      <c r="I9" s="1">
        <v>41700</v>
      </c>
      <c r="J9">
        <v>207172</v>
      </c>
      <c r="K9" s="2">
        <v>0.3</v>
      </c>
      <c r="L9" t="s">
        <v>21</v>
      </c>
      <c r="M9" t="s">
        <v>22</v>
      </c>
    </row>
    <row r="10" spans="1:14" x14ac:dyDescent="0.3">
      <c r="A10" t="s">
        <v>56</v>
      </c>
      <c r="B10" t="s">
        <v>57</v>
      </c>
      <c r="C10" t="s">
        <v>25</v>
      </c>
      <c r="D10" t="s">
        <v>58</v>
      </c>
      <c r="E10" t="s">
        <v>18</v>
      </c>
      <c r="F10" t="s">
        <v>28</v>
      </c>
      <c r="G10" t="s">
        <v>59</v>
      </c>
      <c r="H10">
        <v>41</v>
      </c>
      <c r="I10" s="1">
        <v>42111</v>
      </c>
      <c r="J10">
        <v>152239</v>
      </c>
      <c r="K10" s="2">
        <v>0.2</v>
      </c>
      <c r="L10" t="s">
        <v>21</v>
      </c>
      <c r="M10" t="s">
        <v>45</v>
      </c>
    </row>
    <row r="11" spans="1:14" x14ac:dyDescent="0.3">
      <c r="A11" t="s">
        <v>60</v>
      </c>
      <c r="B11" t="s">
        <v>61</v>
      </c>
      <c r="C11" t="s">
        <v>62</v>
      </c>
      <c r="D11" t="s">
        <v>63</v>
      </c>
      <c r="E11" t="s">
        <v>27</v>
      </c>
      <c r="F11" t="s">
        <v>19</v>
      </c>
      <c r="G11" t="s">
        <v>20</v>
      </c>
      <c r="H11">
        <v>56</v>
      </c>
      <c r="I11" s="1">
        <v>38388</v>
      </c>
      <c r="J11">
        <v>98581</v>
      </c>
      <c r="K11" s="2">
        <v>0.05</v>
      </c>
      <c r="L11" t="s">
        <v>21</v>
      </c>
      <c r="M11" t="s">
        <v>64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28</v>
      </c>
      <c r="G12" t="s">
        <v>35</v>
      </c>
      <c r="H12">
        <v>29</v>
      </c>
      <c r="I12" s="1">
        <v>44055</v>
      </c>
      <c r="J12">
        <v>74500</v>
      </c>
      <c r="K12" s="2">
        <v>7.0000000000000007E-2</v>
      </c>
      <c r="L12" t="s">
        <v>68</v>
      </c>
      <c r="M12" t="s">
        <v>69</v>
      </c>
    </row>
    <row r="13" spans="1:14" x14ac:dyDescent="0.3">
      <c r="A13" t="s">
        <v>70</v>
      </c>
      <c r="B13" t="s">
        <v>71</v>
      </c>
      <c r="C13" t="s">
        <v>67</v>
      </c>
      <c r="D13" t="s">
        <v>72</v>
      </c>
      <c r="E13" t="s">
        <v>27</v>
      </c>
      <c r="F13" t="s">
        <v>19</v>
      </c>
      <c r="G13" t="s">
        <v>29</v>
      </c>
      <c r="H13">
        <v>31</v>
      </c>
      <c r="I13" s="1">
        <v>43546</v>
      </c>
      <c r="J13">
        <v>78500</v>
      </c>
      <c r="K13" s="2">
        <v>0.08</v>
      </c>
      <c r="L13" t="s">
        <v>21</v>
      </c>
      <c r="M13" t="s">
        <v>73</v>
      </c>
    </row>
    <row r="14" spans="1:14" x14ac:dyDescent="0.3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 t="s">
        <v>28</v>
      </c>
      <c r="G14" t="s">
        <v>35</v>
      </c>
      <c r="H14">
        <v>28</v>
      </c>
      <c r="I14" s="1">
        <v>44358</v>
      </c>
      <c r="J14">
        <v>92500</v>
      </c>
      <c r="K14" s="2">
        <v>0.1</v>
      </c>
      <c r="L14" t="s">
        <v>68</v>
      </c>
      <c r="M14" t="s">
        <v>77</v>
      </c>
    </row>
    <row r="15" spans="1:14" x14ac:dyDescent="0.3">
      <c r="A15" t="s">
        <v>78</v>
      </c>
      <c r="B15" t="s">
        <v>79</v>
      </c>
      <c r="C15" t="s">
        <v>80</v>
      </c>
      <c r="D15" t="s">
        <v>72</v>
      </c>
      <c r="E15" t="s">
        <v>27</v>
      </c>
      <c r="F15" t="s">
        <v>19</v>
      </c>
      <c r="G15" t="s">
        <v>35</v>
      </c>
      <c r="H15">
        <v>27</v>
      </c>
      <c r="I15" s="1">
        <v>44576</v>
      </c>
      <c r="J15">
        <v>68500</v>
      </c>
      <c r="K15" s="2">
        <v>0.05</v>
      </c>
      <c r="L15" t="s">
        <v>68</v>
      </c>
      <c r="M15" t="s">
        <v>81</v>
      </c>
    </row>
    <row r="16" spans="1:14" x14ac:dyDescent="0.3">
      <c r="A16" t="s">
        <v>82</v>
      </c>
      <c r="B16" t="s">
        <v>83</v>
      </c>
      <c r="C16" t="s">
        <v>84</v>
      </c>
      <c r="D16" t="s">
        <v>17</v>
      </c>
      <c r="E16" t="s">
        <v>34</v>
      </c>
      <c r="F16" t="s">
        <v>28</v>
      </c>
      <c r="G16" t="s">
        <v>29</v>
      </c>
      <c r="H16">
        <v>39</v>
      </c>
      <c r="I16" s="1">
        <v>43046</v>
      </c>
      <c r="J16">
        <v>132000</v>
      </c>
      <c r="K16" s="2">
        <v>0.15</v>
      </c>
      <c r="L16" t="s">
        <v>21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 t="s">
        <v>58</v>
      </c>
      <c r="E17" t="s">
        <v>27</v>
      </c>
      <c r="F17" t="s">
        <v>19</v>
      </c>
      <c r="G17" t="s">
        <v>35</v>
      </c>
      <c r="H17">
        <v>26</v>
      </c>
      <c r="I17" s="1">
        <v>44823</v>
      </c>
      <c r="J17">
        <v>52000</v>
      </c>
      <c r="K17" s="2">
        <v>0.03</v>
      </c>
      <c r="L17" t="s">
        <v>68</v>
      </c>
      <c r="M17" t="s">
        <v>89</v>
      </c>
    </row>
    <row r="18" spans="1:13" x14ac:dyDescent="0.3">
      <c r="A18" t="s">
        <v>90</v>
      </c>
      <c r="B18" t="s">
        <v>91</v>
      </c>
      <c r="C18" t="s">
        <v>92</v>
      </c>
      <c r="D18" t="s">
        <v>26</v>
      </c>
      <c r="E18" t="s">
        <v>34</v>
      </c>
      <c r="F18" t="s">
        <v>28</v>
      </c>
      <c r="G18" t="s">
        <v>35</v>
      </c>
      <c r="H18">
        <v>33</v>
      </c>
      <c r="I18" s="1">
        <v>43229</v>
      </c>
      <c r="J18">
        <v>112000</v>
      </c>
      <c r="K18" s="2">
        <v>0.12</v>
      </c>
      <c r="L18" t="s">
        <v>93</v>
      </c>
      <c r="M18" t="s">
        <v>94</v>
      </c>
    </row>
    <row r="19" spans="1:13" x14ac:dyDescent="0.3">
      <c r="A19" t="s">
        <v>95</v>
      </c>
      <c r="B19" t="s">
        <v>96</v>
      </c>
      <c r="C19" t="s">
        <v>97</v>
      </c>
      <c r="D19" t="s">
        <v>98</v>
      </c>
      <c r="E19" t="s">
        <v>27</v>
      </c>
      <c r="F19" t="s">
        <v>19</v>
      </c>
      <c r="G19" t="s">
        <v>20</v>
      </c>
      <c r="H19">
        <v>35</v>
      </c>
      <c r="I19" s="1">
        <v>42473</v>
      </c>
      <c r="J19">
        <v>71000</v>
      </c>
      <c r="K19" s="2">
        <v>0.06</v>
      </c>
      <c r="L19" t="s">
        <v>99</v>
      </c>
      <c r="M19" t="s">
        <v>100</v>
      </c>
    </row>
    <row r="20" spans="1:13" x14ac:dyDescent="0.3">
      <c r="A20" t="s">
        <v>101</v>
      </c>
      <c r="B20" t="s">
        <v>102</v>
      </c>
      <c r="C20" t="s">
        <v>103</v>
      </c>
      <c r="D20" t="s">
        <v>104</v>
      </c>
      <c r="E20" t="s">
        <v>40</v>
      </c>
      <c r="F20" t="s">
        <v>28</v>
      </c>
      <c r="G20" t="s">
        <v>29</v>
      </c>
      <c r="H20">
        <v>42</v>
      </c>
      <c r="I20" s="1">
        <v>41473</v>
      </c>
      <c r="J20">
        <v>118000</v>
      </c>
      <c r="K20" s="2">
        <v>0.14000000000000001</v>
      </c>
      <c r="L20" t="s">
        <v>21</v>
      </c>
      <c r="M20" t="s">
        <v>105</v>
      </c>
    </row>
    <row r="21" spans="1:13" x14ac:dyDescent="0.3">
      <c r="A21" t="s">
        <v>106</v>
      </c>
      <c r="B21" t="s">
        <v>107</v>
      </c>
      <c r="C21" t="s">
        <v>108</v>
      </c>
      <c r="D21" t="s">
        <v>17</v>
      </c>
      <c r="E21" t="s">
        <v>18</v>
      </c>
      <c r="F21" t="s">
        <v>19</v>
      </c>
      <c r="G21" t="s">
        <v>35</v>
      </c>
      <c r="H21">
        <v>25</v>
      </c>
      <c r="I21" s="1">
        <v>45209</v>
      </c>
      <c r="J21">
        <v>48000</v>
      </c>
      <c r="K21" s="2">
        <v>0.02</v>
      </c>
      <c r="L21" t="s">
        <v>68</v>
      </c>
      <c r="M2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Sheet4</vt:lpstr>
      <vt:lpstr>Sheet5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2026-06-13T09:53:11Z</dcterms:created>
  <dcterms:modified xsi:type="dcterms:W3CDTF">2026-06-13T11:24:50Z</dcterms:modified>
</cp:coreProperties>
</file>