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sh Mishra\Downloads\"/>
    </mc:Choice>
  </mc:AlternateContent>
  <xr:revisionPtr revIDLastSave="0" documentId="8_{193C7F7F-5986-4D31-9C9A-D3376F591DCF}" xr6:coauthVersionLast="47" xr6:coauthVersionMax="47" xr10:uidLastSave="{00000000-0000-0000-0000-000000000000}"/>
  <bookViews>
    <workbookView xWindow="-108" yWindow="-108" windowWidth="23256" windowHeight="13176" activeTab="2" xr2:uid="{A7E885B5-A71F-47D0-A2D4-D60A98491DB0}"/>
  </bookViews>
  <sheets>
    <sheet name="sIf, AND and OR" sheetId="1" r:id="rId1"/>
    <sheet name="Date &amp; Time Functions" sheetId="2" r:id="rId2"/>
    <sheet name="COUNTIF, COUNTIFS, SUMIF, SUMIF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3" l="1"/>
  <c r="M2" i="3"/>
  <c r="L2" i="3"/>
  <c r="K2" i="3"/>
  <c r="J2" i="3"/>
  <c r="I2" i="3"/>
  <c r="F3" i="2"/>
  <c r="B2" i="2"/>
  <c r="C2" i="2" s="1"/>
  <c r="A2" i="2"/>
  <c r="D2" i="2" s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" i="1"/>
  <c r="L2" i="2" l="1"/>
  <c r="J2" i="2"/>
  <c r="K2" i="2"/>
  <c r="I2" i="2"/>
  <c r="H2" i="2"/>
  <c r="G2" i="2"/>
  <c r="E2" i="2"/>
  <c r="F2" i="2" s="1"/>
</calcChain>
</file>

<file path=xl/sharedStrings.xml><?xml version="1.0" encoding="utf-8"?>
<sst xmlns="http://schemas.openxmlformats.org/spreadsheetml/2006/main" count="180" uniqueCount="109">
  <si>
    <t>Full Name</t>
  </si>
  <si>
    <t>Job Title</t>
  </si>
  <si>
    <t>Department</t>
  </si>
  <si>
    <t>Gender</t>
  </si>
  <si>
    <t>Age</t>
  </si>
  <si>
    <t>Hire Date</t>
  </si>
  <si>
    <t>Country</t>
  </si>
  <si>
    <t>Rahul Sharma</t>
  </si>
  <si>
    <t>Manager</t>
  </si>
  <si>
    <t>IT</t>
  </si>
  <si>
    <t>Male</t>
  </si>
  <si>
    <t>India</t>
  </si>
  <si>
    <t>Priya Verma</t>
  </si>
  <si>
    <t>Analyst</t>
  </si>
  <si>
    <t>Finance</t>
  </si>
  <si>
    <t>Female</t>
  </si>
  <si>
    <t>Amit Singh</t>
  </si>
  <si>
    <t>Director</t>
  </si>
  <si>
    <t>Sales</t>
  </si>
  <si>
    <t>Neha Gupta</t>
  </si>
  <si>
    <t>HR Manager</t>
  </si>
  <si>
    <t>Human Resources</t>
  </si>
  <si>
    <t>Rohan Mehta</t>
  </si>
  <si>
    <t>Software Engineer</t>
  </si>
  <si>
    <t>Anjali Jain</t>
  </si>
  <si>
    <t>Accountant</t>
  </si>
  <si>
    <t>Accounting</t>
  </si>
  <si>
    <t>Vikas Kumar</t>
  </si>
  <si>
    <t>Sales Executive</t>
  </si>
  <si>
    <t>Sneha Patel</t>
  </si>
  <si>
    <t>Data Analyst</t>
  </si>
  <si>
    <t>Arjun Yadav</t>
  </si>
  <si>
    <t>Project Manager</t>
  </si>
  <si>
    <t>Engineering</t>
  </si>
  <si>
    <t>Kavya Nair</t>
  </si>
  <si>
    <t>Quality Engineer</t>
  </si>
  <si>
    <t>Mohit Agarwal</t>
  </si>
  <si>
    <t>Senior Analyst</t>
  </si>
  <si>
    <t>Pooja Mishra</t>
  </si>
  <si>
    <t>Marketing Manager</t>
  </si>
  <si>
    <t>Marketing</t>
  </si>
  <si>
    <t>Deepak Chauhan</t>
  </si>
  <si>
    <t>Vice President</t>
  </si>
  <si>
    <t>Ritika Sinha</t>
  </si>
  <si>
    <t>Business Analyst</t>
  </si>
  <si>
    <t>Karan Malhotra</t>
  </si>
  <si>
    <t>Simran Kaur</t>
  </si>
  <si>
    <t>HR Executive</t>
  </si>
  <si>
    <t>Nitin Arora</t>
  </si>
  <si>
    <t>Technical Architect</t>
  </si>
  <si>
    <t>Ayesha Khan</t>
  </si>
  <si>
    <t>Financial Analyst</t>
  </si>
  <si>
    <t>Saurabh Jain</t>
  </si>
  <si>
    <t>Operations</t>
  </si>
  <si>
    <t>Meera Iyer</t>
  </si>
  <si>
    <t>Senior Manager</t>
  </si>
  <si>
    <t>Conditions</t>
  </si>
  <si>
    <t>If</t>
  </si>
  <si>
    <t>AND</t>
  </si>
  <si>
    <t>OR</t>
  </si>
  <si>
    <t>United States</t>
  </si>
  <si>
    <t>Today</t>
  </si>
  <si>
    <t>Now</t>
  </si>
  <si>
    <t>Day</t>
  </si>
  <si>
    <t>Month</t>
  </si>
  <si>
    <t>Year</t>
  </si>
  <si>
    <t>Date</t>
  </si>
  <si>
    <t>Hour</t>
  </si>
  <si>
    <t>Mins</t>
  </si>
  <si>
    <t>Secs</t>
  </si>
  <si>
    <t>date+3years</t>
  </si>
  <si>
    <t>date+3months</t>
  </si>
  <si>
    <t>date+3DAYS</t>
  </si>
  <si>
    <t>Category</t>
  </si>
  <si>
    <t>Sub-Category</t>
  </si>
  <si>
    <t>Price</t>
  </si>
  <si>
    <t>Payment Mode</t>
  </si>
  <si>
    <t>Column1</t>
  </si>
  <si>
    <t>Food</t>
  </si>
  <si>
    <t>Ice Cream</t>
  </si>
  <si>
    <t>CASH</t>
  </si>
  <si>
    <t>Grocery</t>
  </si>
  <si>
    <t>Rice and Dal</t>
  </si>
  <si>
    <t>UPI</t>
  </si>
  <si>
    <t>Skincare</t>
  </si>
  <si>
    <t>Facewash</t>
  </si>
  <si>
    <t>Restaurant</t>
  </si>
  <si>
    <t>CARD</t>
  </si>
  <si>
    <t>Studies</t>
  </si>
  <si>
    <t>Tution Fees</t>
  </si>
  <si>
    <t>soap</t>
  </si>
  <si>
    <t>Dairy</t>
  </si>
  <si>
    <t>Milk</t>
  </si>
  <si>
    <t>Bills</t>
  </si>
  <si>
    <t>Electricity</t>
  </si>
  <si>
    <t xml:space="preserve">Fast Food </t>
  </si>
  <si>
    <t>Fruits and veegies</t>
  </si>
  <si>
    <t>Cylinder</t>
  </si>
  <si>
    <t>Books</t>
  </si>
  <si>
    <t>Games</t>
  </si>
  <si>
    <t>Cricke Bat</t>
  </si>
  <si>
    <t>Bread And Jam</t>
  </si>
  <si>
    <t>Deserts</t>
  </si>
  <si>
    <t>Sum</t>
  </si>
  <si>
    <t>Sumif</t>
  </si>
  <si>
    <t>Sumsifs</t>
  </si>
  <si>
    <t>Count</t>
  </si>
  <si>
    <t>Countif</t>
  </si>
  <si>
    <t>Countifs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</si>
</sst>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22" fontId="0" fillId="0" borderId="0" xfId="0" applyNumberFormat="1"/>
    <xf numFmtId="16" fontId="0" fillId="0" borderId="0" xfId="0" applyNumberFormat="1"/>
    <xf numFmtId="0" fontId="1" fillId="0" borderId="0" xfId="0" applyFont="1"/>
    <xf numFmtId="0" fontId="0" fillId="0" borderId="0" xfId="0" applyAlignment="1">
      <alignment horizontal="left" indent="2"/>
    </xf>
    <xf numFmtId="0" fontId="0" fillId="2" borderId="0" xfId="0" applyFill="1" applyAlignment="1">
      <alignment horizontal="left" indent="7"/>
    </xf>
    <xf numFmtId="0" fontId="0" fillId="3" borderId="0" xfId="0" applyFill="1" applyAlignment="1">
      <alignment horizontal="left" indent="7"/>
    </xf>
    <xf numFmtId="0" fontId="0" fillId="0" borderId="0" xfId="0" applyAlignment="1">
      <alignment horizontal="left" indent="7"/>
    </xf>
  </cellXfs>
  <cellStyles count="1">
    <cellStyle name="Normal" xfId="0" builtinId="0"/>
  </cellStyles>
  <dxfs count="5">
    <dxf>
      <alignment horizontal="left" vertical="bottom" textRotation="0" wrapText="0" indent="7" justifyLastLine="0" shrinkToFit="0" readingOrder="0"/>
    </dxf>
    <dxf>
      <alignment horizontal="left" vertical="bottom" textRotation="0" wrapText="0" indent="2" justifyLastLine="0" shrinkToFit="0" readingOrder="0"/>
    </dxf>
    <dxf>
      <alignment horizontal="left" vertical="bottom" textRotation="0" wrapText="0" indent="2" justifyLastLine="0" shrinkToFit="0" readingOrder="0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19C7FD-0D38-45B4-B21F-AF57FD4D6CAC}" name="Table1" displayName="Table1" ref="B1:G17" totalsRowShown="0" headerRowDxfId="4">
  <autoFilter ref="B1:G17" xr:uid="{EB19C7FD-0D38-45B4-B21F-AF57FD4D6CAC}"/>
  <sortState xmlns:xlrd2="http://schemas.microsoft.com/office/spreadsheetml/2017/richdata2" ref="B2:G17">
    <sortCondition ref="G3:G18"/>
  </sortState>
  <tableColumns count="6">
    <tableColumn id="1" xr3:uid="{EF7ED98C-366B-4736-BC76-C16DC15F848E}" name="Date" dataDxfId="3"/>
    <tableColumn id="2" xr3:uid="{F8E5859F-4C11-4890-AEB6-B335C3237452}" name="Category" dataDxfId="2"/>
    <tableColumn id="3" xr3:uid="{99BB2B64-84B4-46D7-8453-EF78C7CCA4DB}" name="Sub-Category"/>
    <tableColumn id="4" xr3:uid="{436596D6-5450-4C59-AC5E-1DC8FC18A630}" name="Price" dataDxfId="1"/>
    <tableColumn id="5" xr3:uid="{6181A972-11ED-49EE-A118-E52C28DDFBBB}" name="Payment Mode" dataDxfId="0"/>
    <tableColumn id="6" xr3:uid="{610FE97E-0E98-4632-8853-DE783BE1D606}" name="Column1"/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679A1-05B4-4598-B199-1A768E682A1C}">
  <dimension ref="A1:K21"/>
  <sheetViews>
    <sheetView topLeftCell="E1" zoomScale="140" zoomScaleNormal="140" workbookViewId="0">
      <selection activeCell="K2" sqref="K2:K21"/>
    </sheetView>
  </sheetViews>
  <sheetFormatPr defaultRowHeight="14.4" x14ac:dyDescent="0.3"/>
  <cols>
    <col min="1" max="1" width="15.21875" bestFit="1" customWidth="1"/>
    <col min="2" max="2" width="16.88671875" bestFit="1" customWidth="1"/>
    <col min="6" max="6" width="10.44140625" bestFit="1" customWidth="1"/>
    <col min="7" max="7" width="12.109375" bestFit="1" customWidth="1"/>
    <col min="8" max="8" width="9.886718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56</v>
      </c>
      <c r="I1" t="s">
        <v>57</v>
      </c>
      <c r="J1" t="s">
        <v>58</v>
      </c>
      <c r="K1" t="s">
        <v>59</v>
      </c>
    </row>
    <row r="2" spans="1:11" x14ac:dyDescent="0.3">
      <c r="A2" t="s">
        <v>7</v>
      </c>
      <c r="B2" t="s">
        <v>8</v>
      </c>
      <c r="C2" t="s">
        <v>9</v>
      </c>
      <c r="D2" t="s">
        <v>10</v>
      </c>
      <c r="E2">
        <v>54</v>
      </c>
      <c r="F2" s="1">
        <v>43232</v>
      </c>
      <c r="G2" t="s">
        <v>60</v>
      </c>
      <c r="H2" t="b">
        <f>E2&gt;50</f>
        <v>1</v>
      </c>
      <c r="I2" t="str">
        <f>IF(E2&gt;=50,"Bonus","No Bonus")</f>
        <v>Bonus</v>
      </c>
      <c r="J2" t="str">
        <f>IF(AND(C2="IT",  G2="United States"), "Included", "Excluded")</f>
        <v>Included</v>
      </c>
      <c r="K2" t="str">
        <f>IF(OR(D2="Male", G2="Unites States"),"Included","Excluded")</f>
        <v>Included</v>
      </c>
    </row>
    <row r="3" spans="1:11" x14ac:dyDescent="0.3">
      <c r="A3" t="s">
        <v>12</v>
      </c>
      <c r="B3" t="s">
        <v>13</v>
      </c>
      <c r="C3" t="s">
        <v>14</v>
      </c>
      <c r="D3" t="s">
        <v>15</v>
      </c>
      <c r="E3">
        <v>28</v>
      </c>
      <c r="F3" s="1">
        <v>43911</v>
      </c>
      <c r="G3" t="s">
        <v>60</v>
      </c>
      <c r="H3" t="b">
        <f t="shared" ref="H3:H21" si="0">E3&gt;50</f>
        <v>0</v>
      </c>
      <c r="I3" t="str">
        <f t="shared" ref="I3:I21" si="1">IF(E3&gt;=50,"Bonus","No Bonus")</f>
        <v>No Bonus</v>
      </c>
      <c r="J3" t="str">
        <f t="shared" ref="J3:J21" si="2">IF(AND(C3="IT",  G3="United States"), "Included", "Excluded")</f>
        <v>Excluded</v>
      </c>
      <c r="K3" t="str">
        <f t="shared" ref="K3:K21" si="3">IF(OR(D3="Male", G3="Unites States"),"Included","Excluded")</f>
        <v>Excluded</v>
      </c>
    </row>
    <row r="4" spans="1:11" x14ac:dyDescent="0.3">
      <c r="A4" t="s">
        <v>16</v>
      </c>
      <c r="B4" t="s">
        <v>17</v>
      </c>
      <c r="C4" t="s">
        <v>18</v>
      </c>
      <c r="D4" t="s">
        <v>10</v>
      </c>
      <c r="E4">
        <v>45</v>
      </c>
      <c r="F4" s="1">
        <v>42231</v>
      </c>
      <c r="G4" t="s">
        <v>11</v>
      </c>
      <c r="H4" t="b">
        <f t="shared" si="0"/>
        <v>0</v>
      </c>
      <c r="I4" t="str">
        <f t="shared" si="1"/>
        <v>No Bonus</v>
      </c>
      <c r="J4" t="str">
        <f t="shared" si="2"/>
        <v>Excluded</v>
      </c>
      <c r="K4" t="str">
        <f t="shared" si="3"/>
        <v>Included</v>
      </c>
    </row>
    <row r="5" spans="1:11" x14ac:dyDescent="0.3">
      <c r="A5" t="s">
        <v>19</v>
      </c>
      <c r="B5" t="s">
        <v>20</v>
      </c>
      <c r="C5" t="s">
        <v>21</v>
      </c>
      <c r="D5" t="s">
        <v>15</v>
      </c>
      <c r="E5">
        <v>68</v>
      </c>
      <c r="F5" s="1">
        <v>43475</v>
      </c>
      <c r="G5" t="s">
        <v>11</v>
      </c>
      <c r="H5" t="b">
        <f t="shared" si="0"/>
        <v>1</v>
      </c>
      <c r="I5" t="str">
        <f t="shared" si="1"/>
        <v>Bonus</v>
      </c>
      <c r="J5" t="str">
        <f t="shared" si="2"/>
        <v>Excluded</v>
      </c>
      <c r="K5" t="str">
        <f t="shared" si="3"/>
        <v>Excluded</v>
      </c>
    </row>
    <row r="6" spans="1:11" x14ac:dyDescent="0.3">
      <c r="A6" t="s">
        <v>22</v>
      </c>
      <c r="B6" t="s">
        <v>23</v>
      </c>
      <c r="C6" t="s">
        <v>9</v>
      </c>
      <c r="D6" t="s">
        <v>10</v>
      </c>
      <c r="E6">
        <v>26</v>
      </c>
      <c r="F6" s="1">
        <v>44747</v>
      </c>
      <c r="G6" t="s">
        <v>60</v>
      </c>
      <c r="H6" t="b">
        <f t="shared" si="0"/>
        <v>0</v>
      </c>
      <c r="I6" t="str">
        <f t="shared" si="1"/>
        <v>No Bonus</v>
      </c>
      <c r="J6" t="str">
        <f t="shared" si="2"/>
        <v>Included</v>
      </c>
      <c r="K6" t="str">
        <f t="shared" si="3"/>
        <v>Included</v>
      </c>
    </row>
    <row r="7" spans="1:11" x14ac:dyDescent="0.3">
      <c r="A7" t="s">
        <v>24</v>
      </c>
      <c r="B7" t="s">
        <v>25</v>
      </c>
      <c r="C7" t="s">
        <v>26</v>
      </c>
      <c r="D7" t="s">
        <v>15</v>
      </c>
      <c r="E7">
        <v>30</v>
      </c>
      <c r="F7" s="1">
        <v>44456</v>
      </c>
      <c r="G7" t="s">
        <v>11</v>
      </c>
      <c r="H7" t="b">
        <f t="shared" si="0"/>
        <v>0</v>
      </c>
      <c r="I7" t="str">
        <f t="shared" si="1"/>
        <v>No Bonus</v>
      </c>
      <c r="J7" t="str">
        <f t="shared" si="2"/>
        <v>Excluded</v>
      </c>
      <c r="K7" t="str">
        <f t="shared" si="3"/>
        <v>Excluded</v>
      </c>
    </row>
    <row r="8" spans="1:11" x14ac:dyDescent="0.3">
      <c r="A8" t="s">
        <v>27</v>
      </c>
      <c r="B8" t="s">
        <v>28</v>
      </c>
      <c r="C8" t="s">
        <v>18</v>
      </c>
      <c r="D8" t="s">
        <v>10</v>
      </c>
      <c r="E8">
        <v>67</v>
      </c>
      <c r="F8" s="1">
        <v>44146</v>
      </c>
      <c r="G8" t="s">
        <v>11</v>
      </c>
      <c r="H8" t="b">
        <f t="shared" si="0"/>
        <v>1</v>
      </c>
      <c r="I8" t="str">
        <f t="shared" si="1"/>
        <v>Bonus</v>
      </c>
      <c r="J8" t="str">
        <f t="shared" si="2"/>
        <v>Excluded</v>
      </c>
      <c r="K8" t="str">
        <f t="shared" si="3"/>
        <v>Included</v>
      </c>
    </row>
    <row r="9" spans="1:11" x14ac:dyDescent="0.3">
      <c r="A9" t="s">
        <v>29</v>
      </c>
      <c r="B9" t="s">
        <v>30</v>
      </c>
      <c r="C9" t="s">
        <v>9</v>
      </c>
      <c r="D9" t="s">
        <v>15</v>
      </c>
      <c r="E9">
        <v>24</v>
      </c>
      <c r="F9" s="1">
        <v>45099</v>
      </c>
      <c r="G9" t="s">
        <v>60</v>
      </c>
      <c r="H9" t="b">
        <f t="shared" si="0"/>
        <v>0</v>
      </c>
      <c r="I9" t="str">
        <f t="shared" si="1"/>
        <v>No Bonus</v>
      </c>
      <c r="J9" t="str">
        <f t="shared" si="2"/>
        <v>Included</v>
      </c>
      <c r="K9" t="str">
        <f t="shared" si="3"/>
        <v>Excluded</v>
      </c>
    </row>
    <row r="10" spans="1:11" x14ac:dyDescent="0.3">
      <c r="A10" t="s">
        <v>31</v>
      </c>
      <c r="B10" t="s">
        <v>32</v>
      </c>
      <c r="C10" t="s">
        <v>33</v>
      </c>
      <c r="D10" t="s">
        <v>10</v>
      </c>
      <c r="E10">
        <v>40</v>
      </c>
      <c r="F10" s="1">
        <v>42469</v>
      </c>
      <c r="G10" t="s">
        <v>11</v>
      </c>
      <c r="H10" t="b">
        <f t="shared" si="0"/>
        <v>0</v>
      </c>
      <c r="I10" t="str">
        <f t="shared" si="1"/>
        <v>No Bonus</v>
      </c>
      <c r="J10" t="str">
        <f t="shared" si="2"/>
        <v>Excluded</v>
      </c>
      <c r="K10" t="str">
        <f t="shared" si="3"/>
        <v>Included</v>
      </c>
    </row>
    <row r="11" spans="1:11" x14ac:dyDescent="0.3">
      <c r="A11" t="s">
        <v>34</v>
      </c>
      <c r="B11" t="s">
        <v>35</v>
      </c>
      <c r="C11" t="s">
        <v>33</v>
      </c>
      <c r="D11" t="s">
        <v>15</v>
      </c>
      <c r="E11">
        <v>65</v>
      </c>
      <c r="F11" s="1">
        <v>44606</v>
      </c>
      <c r="G11" t="s">
        <v>11</v>
      </c>
      <c r="H11" t="b">
        <f t="shared" si="0"/>
        <v>1</v>
      </c>
      <c r="I11" t="str">
        <f t="shared" si="1"/>
        <v>Bonus</v>
      </c>
      <c r="J11" t="str">
        <f t="shared" si="2"/>
        <v>Excluded</v>
      </c>
      <c r="K11" t="str">
        <f t="shared" si="3"/>
        <v>Excluded</v>
      </c>
    </row>
    <row r="12" spans="1:11" x14ac:dyDescent="0.3">
      <c r="A12" t="s">
        <v>36</v>
      </c>
      <c r="B12" t="s">
        <v>37</v>
      </c>
      <c r="C12" t="s">
        <v>14</v>
      </c>
      <c r="D12" t="s">
        <v>10</v>
      </c>
      <c r="E12">
        <v>38</v>
      </c>
      <c r="F12" s="1">
        <v>43087</v>
      </c>
      <c r="G12" t="s">
        <v>11</v>
      </c>
      <c r="H12" t="b">
        <f t="shared" si="0"/>
        <v>0</v>
      </c>
      <c r="I12" t="str">
        <f t="shared" si="1"/>
        <v>No Bonus</v>
      </c>
      <c r="J12" t="str">
        <f t="shared" si="2"/>
        <v>Excluded</v>
      </c>
      <c r="K12" t="str">
        <f t="shared" si="3"/>
        <v>Included</v>
      </c>
    </row>
    <row r="13" spans="1:11" x14ac:dyDescent="0.3">
      <c r="A13" t="s">
        <v>38</v>
      </c>
      <c r="B13" t="s">
        <v>39</v>
      </c>
      <c r="C13" t="s">
        <v>40</v>
      </c>
      <c r="D13" t="s">
        <v>15</v>
      </c>
      <c r="E13">
        <v>34</v>
      </c>
      <c r="F13" s="1">
        <v>43592</v>
      </c>
      <c r="G13" t="s">
        <v>11</v>
      </c>
      <c r="H13" t="b">
        <f t="shared" si="0"/>
        <v>0</v>
      </c>
      <c r="I13" t="str">
        <f t="shared" si="1"/>
        <v>No Bonus</v>
      </c>
      <c r="J13" t="str">
        <f t="shared" si="2"/>
        <v>Excluded</v>
      </c>
      <c r="K13" t="str">
        <f t="shared" si="3"/>
        <v>Excluded</v>
      </c>
    </row>
    <row r="14" spans="1:11" x14ac:dyDescent="0.3">
      <c r="A14" t="s">
        <v>41</v>
      </c>
      <c r="B14" t="s">
        <v>42</v>
      </c>
      <c r="C14" t="s">
        <v>18</v>
      </c>
      <c r="D14" t="s">
        <v>10</v>
      </c>
      <c r="E14">
        <v>52</v>
      </c>
      <c r="F14" s="1">
        <v>40909</v>
      </c>
      <c r="G14" t="s">
        <v>11</v>
      </c>
      <c r="H14" t="b">
        <f t="shared" si="0"/>
        <v>1</v>
      </c>
      <c r="I14" t="str">
        <f t="shared" si="1"/>
        <v>Bonus</v>
      </c>
      <c r="J14" t="str">
        <f t="shared" si="2"/>
        <v>Excluded</v>
      </c>
      <c r="K14" t="str">
        <f t="shared" si="3"/>
        <v>Included</v>
      </c>
    </row>
    <row r="15" spans="1:11" x14ac:dyDescent="0.3">
      <c r="A15" t="s">
        <v>43</v>
      </c>
      <c r="B15" t="s">
        <v>44</v>
      </c>
      <c r="C15" t="s">
        <v>9</v>
      </c>
      <c r="D15" t="s">
        <v>15</v>
      </c>
      <c r="E15">
        <v>31</v>
      </c>
      <c r="F15" s="1">
        <v>44129</v>
      </c>
      <c r="G15" t="s">
        <v>60</v>
      </c>
      <c r="H15" t="b">
        <f t="shared" si="0"/>
        <v>0</v>
      </c>
      <c r="I15" t="str">
        <f t="shared" si="1"/>
        <v>No Bonus</v>
      </c>
      <c r="J15" t="str">
        <f t="shared" si="2"/>
        <v>Included</v>
      </c>
      <c r="K15" t="str">
        <f t="shared" si="3"/>
        <v>Excluded</v>
      </c>
    </row>
    <row r="16" spans="1:11" x14ac:dyDescent="0.3">
      <c r="A16" t="s">
        <v>45</v>
      </c>
      <c r="B16" t="s">
        <v>17</v>
      </c>
      <c r="C16" t="s">
        <v>40</v>
      </c>
      <c r="D16" t="s">
        <v>10</v>
      </c>
      <c r="E16">
        <v>47</v>
      </c>
      <c r="F16" s="1">
        <v>41714</v>
      </c>
      <c r="G16" t="s">
        <v>11</v>
      </c>
      <c r="H16" t="b">
        <f t="shared" si="0"/>
        <v>0</v>
      </c>
      <c r="I16" t="str">
        <f t="shared" si="1"/>
        <v>No Bonus</v>
      </c>
      <c r="J16" t="str">
        <f t="shared" si="2"/>
        <v>Excluded</v>
      </c>
      <c r="K16" t="str">
        <f t="shared" si="3"/>
        <v>Included</v>
      </c>
    </row>
    <row r="17" spans="1:11" x14ac:dyDescent="0.3">
      <c r="A17" t="s">
        <v>46</v>
      </c>
      <c r="B17" t="s">
        <v>47</v>
      </c>
      <c r="C17" t="s">
        <v>21</v>
      </c>
      <c r="D17" t="s">
        <v>15</v>
      </c>
      <c r="E17">
        <v>61</v>
      </c>
      <c r="F17" s="1">
        <v>45146</v>
      </c>
      <c r="G17" t="s">
        <v>11</v>
      </c>
      <c r="H17" t="b">
        <f t="shared" si="0"/>
        <v>1</v>
      </c>
      <c r="I17" t="str">
        <f t="shared" si="1"/>
        <v>Bonus</v>
      </c>
      <c r="J17" t="str">
        <f t="shared" si="2"/>
        <v>Excluded</v>
      </c>
      <c r="K17" t="str">
        <f t="shared" si="3"/>
        <v>Excluded</v>
      </c>
    </row>
    <row r="18" spans="1:11" x14ac:dyDescent="0.3">
      <c r="A18" t="s">
        <v>48</v>
      </c>
      <c r="B18" t="s">
        <v>49</v>
      </c>
      <c r="C18" t="s">
        <v>9</v>
      </c>
      <c r="D18" t="s">
        <v>10</v>
      </c>
      <c r="E18">
        <v>42</v>
      </c>
      <c r="F18" s="1">
        <v>42267</v>
      </c>
      <c r="G18" t="s">
        <v>60</v>
      </c>
      <c r="H18" t="b">
        <f t="shared" si="0"/>
        <v>0</v>
      </c>
      <c r="I18" t="str">
        <f t="shared" si="1"/>
        <v>No Bonus</v>
      </c>
      <c r="J18" t="str">
        <f t="shared" si="2"/>
        <v>Included</v>
      </c>
      <c r="K18" t="str">
        <f t="shared" si="3"/>
        <v>Included</v>
      </c>
    </row>
    <row r="19" spans="1:11" x14ac:dyDescent="0.3">
      <c r="A19" t="s">
        <v>50</v>
      </c>
      <c r="B19" t="s">
        <v>51</v>
      </c>
      <c r="C19" t="s">
        <v>14</v>
      </c>
      <c r="D19" t="s">
        <v>15</v>
      </c>
      <c r="E19">
        <v>29</v>
      </c>
      <c r="F19" s="1">
        <v>44390</v>
      </c>
      <c r="G19" t="s">
        <v>11</v>
      </c>
      <c r="H19" t="b">
        <f t="shared" si="0"/>
        <v>0</v>
      </c>
      <c r="I19" t="str">
        <f t="shared" si="1"/>
        <v>No Bonus</v>
      </c>
      <c r="J19" t="str">
        <f t="shared" si="2"/>
        <v>Excluded</v>
      </c>
      <c r="K19" t="str">
        <f t="shared" si="3"/>
        <v>Excluded</v>
      </c>
    </row>
    <row r="20" spans="1:11" x14ac:dyDescent="0.3">
      <c r="A20" t="s">
        <v>52</v>
      </c>
      <c r="B20" t="s">
        <v>8</v>
      </c>
      <c r="C20" t="s">
        <v>53</v>
      </c>
      <c r="D20" t="s">
        <v>10</v>
      </c>
      <c r="E20">
        <v>59</v>
      </c>
      <c r="F20" s="1">
        <v>43434</v>
      </c>
      <c r="G20" t="s">
        <v>11</v>
      </c>
      <c r="H20" t="b">
        <f t="shared" si="0"/>
        <v>1</v>
      </c>
      <c r="I20" t="str">
        <f t="shared" si="1"/>
        <v>Bonus</v>
      </c>
      <c r="J20" t="str">
        <f t="shared" si="2"/>
        <v>Excluded</v>
      </c>
      <c r="K20" t="str">
        <f t="shared" si="3"/>
        <v>Included</v>
      </c>
    </row>
    <row r="21" spans="1:11" x14ac:dyDescent="0.3">
      <c r="A21" t="s">
        <v>54</v>
      </c>
      <c r="B21" t="s">
        <v>55</v>
      </c>
      <c r="C21" t="s">
        <v>40</v>
      </c>
      <c r="D21" t="s">
        <v>15</v>
      </c>
      <c r="E21">
        <v>39</v>
      </c>
      <c r="F21" s="1">
        <v>42479</v>
      </c>
      <c r="G21" t="s">
        <v>11</v>
      </c>
      <c r="H21" t="b">
        <f t="shared" si="0"/>
        <v>0</v>
      </c>
      <c r="I21" t="str">
        <f t="shared" si="1"/>
        <v>No Bonus</v>
      </c>
      <c r="J21" t="str">
        <f t="shared" si="2"/>
        <v>Excluded</v>
      </c>
      <c r="K21" t="str">
        <f t="shared" si="3"/>
        <v>Excluded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94945-7E79-4001-A1B1-055A3016EE03}">
  <dimension ref="A1:L3"/>
  <sheetViews>
    <sheetView zoomScale="140" zoomScaleNormal="140" workbookViewId="0">
      <selection activeCell="L2" sqref="L2"/>
    </sheetView>
  </sheetViews>
  <sheetFormatPr defaultRowHeight="14.4" x14ac:dyDescent="0.3"/>
  <cols>
    <col min="1" max="2" width="15.6640625" bestFit="1" customWidth="1"/>
    <col min="6" max="6" width="10.44140625" bestFit="1" customWidth="1"/>
    <col min="8" max="8" width="15.6640625" bestFit="1" customWidth="1"/>
    <col min="10" max="10" width="11" bestFit="1" customWidth="1"/>
    <col min="11" max="11" width="12.77734375" bestFit="1" customWidth="1"/>
    <col min="12" max="12" width="11" bestFit="1" customWidth="1"/>
  </cols>
  <sheetData>
    <row r="1" spans="1:12" x14ac:dyDescent="0.3">
      <c r="A1" t="s">
        <v>61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72</v>
      </c>
      <c r="K1" t="s">
        <v>71</v>
      </c>
      <c r="L1" t="s">
        <v>70</v>
      </c>
    </row>
    <row r="2" spans="1:12" x14ac:dyDescent="0.3">
      <c r="A2" s="1">
        <f ca="1">TODAY()</f>
        <v>46182</v>
      </c>
      <c r="B2" s="2">
        <f ca="1">NOW()</f>
        <v>46182.687787615738</v>
      </c>
      <c r="C2">
        <f ca="1">DAY(B2)</f>
        <v>9</v>
      </c>
      <c r="D2">
        <f ca="1">MONTH(A2)</f>
        <v>6</v>
      </c>
      <c r="E2">
        <f ca="1">YEAR(B2)</f>
        <v>2026</v>
      </c>
      <c r="F2" s="1">
        <f ca="1">DATE(E2,D2,C2)</f>
        <v>46182</v>
      </c>
      <c r="G2">
        <f ca="1">HOUR(B2)</f>
        <v>16</v>
      </c>
      <c r="H2" s="2">
        <f ca="1">MIN(B2)</f>
        <v>46182.687787615738</v>
      </c>
      <c r="I2">
        <f ca="1">_xlfn.SEC(B2)</f>
        <v>3.4393144417931496</v>
      </c>
      <c r="J2" s="1">
        <f ca="1">A2+3</f>
        <v>46185</v>
      </c>
      <c r="K2" s="1">
        <f ca="1">EDATE(A2,3)</f>
        <v>46274</v>
      </c>
      <c r="L2" s="1">
        <f ca="1">EDATE(A2,(12*3))</f>
        <v>47278</v>
      </c>
    </row>
    <row r="3" spans="1:12" x14ac:dyDescent="0.3">
      <c r="C3">
        <v>18</v>
      </c>
      <c r="D3">
        <v>5</v>
      </c>
      <c r="E3">
        <v>2025</v>
      </c>
      <c r="F3" s="1">
        <f>DATE(E3,D3,C3)</f>
        <v>45795</v>
      </c>
      <c r="J3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112E4-7FA3-42DD-9D9D-5A5AE109DED0}">
  <dimension ref="B1:N17"/>
  <sheetViews>
    <sheetView tabSelected="1" zoomScale="120" zoomScaleNormal="120" workbookViewId="0">
      <selection activeCell="N3" sqref="N3"/>
    </sheetView>
  </sheetViews>
  <sheetFormatPr defaultRowHeight="14.4" x14ac:dyDescent="0.3"/>
  <cols>
    <col min="6" max="6" width="22.109375" bestFit="1" customWidth="1"/>
  </cols>
  <sheetData>
    <row r="1" spans="2:14" ht="21" x14ac:dyDescent="0.4">
      <c r="B1" s="4" t="s">
        <v>66</v>
      </c>
      <c r="C1" s="4" t="s">
        <v>73</v>
      </c>
      <c r="D1" s="4" t="s">
        <v>74</v>
      </c>
      <c r="E1" s="4" t="s">
        <v>75</v>
      </c>
      <c r="F1" s="4" t="s">
        <v>76</v>
      </c>
      <c r="G1" s="4" t="s">
        <v>77</v>
      </c>
      <c r="I1" t="s">
        <v>103</v>
      </c>
      <c r="J1" t="s">
        <v>104</v>
      </c>
      <c r="K1" t="s">
        <v>105</v>
      </c>
      <c r="L1" t="s">
        <v>106</v>
      </c>
      <c r="M1" t="s">
        <v>107</v>
      </c>
      <c r="N1" t="s">
        <v>108</v>
      </c>
    </row>
    <row r="2" spans="2:14" x14ac:dyDescent="0.3">
      <c r="B2" s="1">
        <v>46023</v>
      </c>
      <c r="C2" s="5" t="s">
        <v>78</v>
      </c>
      <c r="D2" t="s">
        <v>79</v>
      </c>
      <c r="E2" s="5">
        <v>30</v>
      </c>
      <c r="F2" s="6" t="s">
        <v>80</v>
      </c>
      <c r="G2" s="3">
        <v>46023</v>
      </c>
      <c r="I2">
        <f>SUM(Table1[Price])</f>
        <v>8495</v>
      </c>
      <c r="J2">
        <f>SUMIF(Table1[Payment Mode],"UPI",Table1[Price])</f>
        <v>4040</v>
      </c>
      <c r="K2">
        <f>SUMIFS(Table1[Price],Table1[Payment Mode],"Cash",Table1[Category],"Food")</f>
        <v>230</v>
      </c>
      <c r="L2">
        <f>COUNT(Table1[Price])</f>
        <v>15</v>
      </c>
      <c r="M2">
        <f>COUNTIF(Table1[Payment Mode],"Card")</f>
        <v>3</v>
      </c>
      <c r="N2">
        <f>COUNTIFS(Table1[Payment Mode],"UPI", Table1[Category],"Food")</f>
        <v>1</v>
      </c>
    </row>
    <row r="3" spans="2:14" x14ac:dyDescent="0.3">
      <c r="B3" s="1">
        <v>46024</v>
      </c>
      <c r="C3" s="5" t="s">
        <v>81</v>
      </c>
      <c r="D3" t="s">
        <v>82</v>
      </c>
      <c r="E3" s="5">
        <v>30</v>
      </c>
      <c r="F3" s="7" t="s">
        <v>83</v>
      </c>
      <c r="G3" s="3">
        <v>46024</v>
      </c>
    </row>
    <row r="4" spans="2:14" x14ac:dyDescent="0.3">
      <c r="B4" s="1">
        <v>46025</v>
      </c>
      <c r="C4" s="5" t="s">
        <v>84</v>
      </c>
      <c r="D4" t="s">
        <v>85</v>
      </c>
      <c r="E4" s="5">
        <v>200</v>
      </c>
      <c r="F4" s="7" t="s">
        <v>83</v>
      </c>
      <c r="G4" s="3">
        <v>46025</v>
      </c>
    </row>
    <row r="5" spans="2:14" x14ac:dyDescent="0.3">
      <c r="B5" s="1">
        <v>46026</v>
      </c>
      <c r="C5" s="5" t="s">
        <v>78</v>
      </c>
      <c r="D5" t="s">
        <v>86</v>
      </c>
      <c r="E5" s="5">
        <v>900</v>
      </c>
      <c r="F5" s="8" t="s">
        <v>87</v>
      </c>
      <c r="G5" s="3">
        <v>46026</v>
      </c>
    </row>
    <row r="6" spans="2:14" x14ac:dyDescent="0.3">
      <c r="B6" s="1">
        <v>46027</v>
      </c>
      <c r="C6" s="5" t="s">
        <v>88</v>
      </c>
      <c r="D6" t="s">
        <v>89</v>
      </c>
      <c r="E6" s="5">
        <v>1500</v>
      </c>
      <c r="F6" s="7" t="s">
        <v>83</v>
      </c>
      <c r="G6" s="3">
        <v>46027</v>
      </c>
    </row>
    <row r="7" spans="2:14" x14ac:dyDescent="0.3">
      <c r="B7" s="1">
        <v>46028</v>
      </c>
      <c r="C7" s="5" t="s">
        <v>81</v>
      </c>
      <c r="D7" t="s">
        <v>90</v>
      </c>
      <c r="E7" s="5">
        <v>15</v>
      </c>
      <c r="F7" s="6" t="s">
        <v>80</v>
      </c>
      <c r="G7" s="3">
        <v>46028</v>
      </c>
    </row>
    <row r="8" spans="2:14" x14ac:dyDescent="0.3">
      <c r="B8" s="1">
        <v>46029</v>
      </c>
      <c r="C8" s="5" t="s">
        <v>91</v>
      </c>
      <c r="D8" t="s">
        <v>92</v>
      </c>
      <c r="E8" s="5">
        <v>60</v>
      </c>
      <c r="F8" s="6" t="s">
        <v>80</v>
      </c>
      <c r="G8" s="3">
        <v>46029</v>
      </c>
    </row>
    <row r="9" spans="2:14" x14ac:dyDescent="0.3">
      <c r="B9" s="1">
        <v>46030</v>
      </c>
      <c r="C9" s="5" t="s">
        <v>93</v>
      </c>
      <c r="D9" t="s">
        <v>94</v>
      </c>
      <c r="E9" s="5">
        <v>2000</v>
      </c>
      <c r="F9" s="8" t="s">
        <v>87</v>
      </c>
      <c r="G9" s="3">
        <v>46030</v>
      </c>
    </row>
    <row r="10" spans="2:14" x14ac:dyDescent="0.3">
      <c r="B10" s="1">
        <v>46031</v>
      </c>
      <c r="C10" s="5" t="s">
        <v>78</v>
      </c>
      <c r="D10" t="s">
        <v>95</v>
      </c>
      <c r="E10" s="5">
        <v>150</v>
      </c>
      <c r="F10" s="7" t="s">
        <v>83</v>
      </c>
      <c r="G10" s="3">
        <v>46031</v>
      </c>
    </row>
    <row r="11" spans="2:14" x14ac:dyDescent="0.3">
      <c r="B11" s="1">
        <v>46032</v>
      </c>
      <c r="C11" s="5" t="s">
        <v>81</v>
      </c>
      <c r="D11" t="s">
        <v>96</v>
      </c>
      <c r="E11" s="5">
        <v>300</v>
      </c>
      <c r="F11" s="6" t="s">
        <v>80</v>
      </c>
      <c r="G11" s="3">
        <v>46032</v>
      </c>
    </row>
    <row r="12" spans="2:14" x14ac:dyDescent="0.3">
      <c r="B12" s="1">
        <v>46033</v>
      </c>
      <c r="C12" s="5" t="s">
        <v>93</v>
      </c>
      <c r="D12" t="s">
        <v>97</v>
      </c>
      <c r="E12" s="5">
        <v>950</v>
      </c>
      <c r="F12" s="8" t="s">
        <v>87</v>
      </c>
      <c r="G12" s="3">
        <v>46033</v>
      </c>
    </row>
    <row r="13" spans="2:14" x14ac:dyDescent="0.3">
      <c r="B13" s="1">
        <v>46034</v>
      </c>
      <c r="C13" s="5" t="s">
        <v>88</v>
      </c>
      <c r="D13" t="s">
        <v>98</v>
      </c>
      <c r="E13" s="5">
        <v>1100</v>
      </c>
      <c r="F13" s="7" t="s">
        <v>83</v>
      </c>
      <c r="G13" s="3">
        <v>46034</v>
      </c>
    </row>
    <row r="14" spans="2:14" x14ac:dyDescent="0.3">
      <c r="B14" s="1">
        <v>46035</v>
      </c>
      <c r="C14" s="5" t="s">
        <v>99</v>
      </c>
      <c r="D14" t="s">
        <v>100</v>
      </c>
      <c r="E14" s="5">
        <v>1000</v>
      </c>
      <c r="F14" s="7" t="s">
        <v>83</v>
      </c>
      <c r="G14" s="3">
        <v>46035</v>
      </c>
    </row>
    <row r="15" spans="2:14" x14ac:dyDescent="0.3">
      <c r="B15" s="1">
        <v>46036</v>
      </c>
      <c r="C15" s="5" t="s">
        <v>81</v>
      </c>
      <c r="D15" t="s">
        <v>101</v>
      </c>
      <c r="E15" s="5">
        <v>60</v>
      </c>
      <c r="F15" s="7" t="s">
        <v>83</v>
      </c>
      <c r="G15" s="3">
        <v>46036</v>
      </c>
    </row>
    <row r="16" spans="2:14" x14ac:dyDescent="0.3">
      <c r="B16" s="1">
        <v>46037</v>
      </c>
      <c r="C16" s="5" t="s">
        <v>78</v>
      </c>
      <c r="D16" t="s">
        <v>102</v>
      </c>
      <c r="E16" s="5">
        <v>200</v>
      </c>
      <c r="F16" s="6" t="s">
        <v>80</v>
      </c>
      <c r="G16" s="3">
        <v>46037</v>
      </c>
    </row>
    <row r="17" spans="2:6" x14ac:dyDescent="0.3">
      <c r="B17" s="1"/>
      <c r="C17" s="5"/>
      <c r="E17" s="5"/>
      <c r="F17" s="8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sIf, AND and OR</vt:lpstr>
      <vt:lpstr>Date &amp; Time Functions</vt:lpstr>
      <vt:lpstr>COUNTIF, COUNTIFS, SUMIF, SUMIF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mishra</dc:creator>
  <cp:lastModifiedBy>yash mishra</cp:lastModifiedBy>
  <dcterms:created xsi:type="dcterms:W3CDTF">2026-06-08T07:56:18Z</dcterms:created>
  <dcterms:modified xsi:type="dcterms:W3CDTF">2026-06-09T11:03:05Z</dcterms:modified>
</cp:coreProperties>
</file>